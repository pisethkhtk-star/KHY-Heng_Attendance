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KHY-HENG_Attendance\"/>
    </mc:Choice>
  </mc:AlternateContent>
  <xr:revisionPtr revIDLastSave="0" documentId="13_ncr:1_{0DDE37BE-2D6D-4A09-A510-6D6557BB08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tendance_Report" sheetId="1" r:id="rId1"/>
    <sheet name="Settings" sheetId="2" r:id="rId2"/>
    <sheet name="Employees" sheetId="3" r:id="rId3"/>
    <sheet name="Leaves" sheetId="4" r:id="rId4"/>
    <sheet name="Attendance_Daily" sheetId="5" r:id="rId5"/>
    <sheet name="Late_Attendance_Log" sheetId="6" r:id="rId6"/>
    <sheet name="User_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6" l="1"/>
  <c r="E8" i="6"/>
  <c r="D8" i="6"/>
  <c r="F7" i="6"/>
  <c r="E7" i="6"/>
  <c r="D7" i="6"/>
  <c r="F6" i="6"/>
  <c r="E6" i="6"/>
  <c r="D6" i="6"/>
  <c r="F5" i="6"/>
  <c r="E5" i="6"/>
  <c r="D5" i="6"/>
  <c r="F4" i="6"/>
  <c r="E4" i="6"/>
  <c r="D4" i="6"/>
  <c r="R33" i="5"/>
  <c r="T33" i="5" s="1"/>
  <c r="Q33" i="5"/>
  <c r="P33" i="5"/>
  <c r="O33" i="5"/>
  <c r="S33" i="5" s="1"/>
  <c r="U33" i="5" s="1"/>
  <c r="M33" i="5"/>
  <c r="L33" i="5"/>
  <c r="N33" i="5" s="1"/>
  <c r="G33" i="5"/>
  <c r="F33" i="5"/>
  <c r="E33" i="5"/>
  <c r="C33" i="5"/>
  <c r="S32" i="5"/>
  <c r="R32" i="5"/>
  <c r="Q32" i="5"/>
  <c r="P32" i="5"/>
  <c r="O32" i="5"/>
  <c r="M32" i="5"/>
  <c r="L32" i="5"/>
  <c r="N32" i="5" s="1"/>
  <c r="G32" i="5"/>
  <c r="F32" i="5"/>
  <c r="E32" i="5"/>
  <c r="C32" i="5"/>
  <c r="R31" i="5"/>
  <c r="Q31" i="5"/>
  <c r="P31" i="5"/>
  <c r="O31" i="5"/>
  <c r="M31" i="5"/>
  <c r="L31" i="5"/>
  <c r="N31" i="5" s="1"/>
  <c r="G31" i="5"/>
  <c r="F31" i="5"/>
  <c r="E31" i="5"/>
  <c r="C31" i="5"/>
  <c r="U30" i="5"/>
  <c r="R30" i="5"/>
  <c r="Q30" i="5"/>
  <c r="P30" i="5"/>
  <c r="O30" i="5"/>
  <c r="S30" i="5" s="1"/>
  <c r="M30" i="5"/>
  <c r="L30" i="5"/>
  <c r="G30" i="5"/>
  <c r="F30" i="5"/>
  <c r="E30" i="5"/>
  <c r="C30" i="5"/>
  <c r="R29" i="5"/>
  <c r="T29" i="5" s="1"/>
  <c r="Q29" i="5"/>
  <c r="P29" i="5"/>
  <c r="O29" i="5"/>
  <c r="S29" i="5" s="1"/>
  <c r="M29" i="5"/>
  <c r="L29" i="5"/>
  <c r="N29" i="5" s="1"/>
  <c r="G29" i="5"/>
  <c r="F29" i="5"/>
  <c r="E29" i="5"/>
  <c r="C29" i="5"/>
  <c r="T28" i="5"/>
  <c r="R28" i="5"/>
  <c r="Q28" i="5"/>
  <c r="P28" i="5"/>
  <c r="O28" i="5"/>
  <c r="S28" i="5" s="1"/>
  <c r="U28" i="5" s="1"/>
  <c r="M28" i="5"/>
  <c r="L28" i="5"/>
  <c r="N28" i="5" s="1"/>
  <c r="G28" i="5"/>
  <c r="F28" i="5"/>
  <c r="E28" i="5"/>
  <c r="C28" i="5"/>
  <c r="U27" i="5"/>
  <c r="R27" i="5"/>
  <c r="T27" i="5" s="1"/>
  <c r="Q27" i="5"/>
  <c r="P27" i="5"/>
  <c r="O27" i="5"/>
  <c r="S27" i="5" s="1"/>
  <c r="M27" i="5"/>
  <c r="L27" i="5"/>
  <c r="G27" i="5"/>
  <c r="F27" i="5"/>
  <c r="E27" i="5"/>
  <c r="C27" i="5"/>
  <c r="R26" i="5"/>
  <c r="Q26" i="5"/>
  <c r="P26" i="5"/>
  <c r="T26" i="5" s="1"/>
  <c r="O26" i="5"/>
  <c r="M26" i="5"/>
  <c r="N26" i="5" s="1"/>
  <c r="L26" i="5"/>
  <c r="G26" i="5"/>
  <c r="F26" i="5"/>
  <c r="E26" i="5"/>
  <c r="C26" i="5"/>
  <c r="R25" i="5"/>
  <c r="Q25" i="5"/>
  <c r="P25" i="5"/>
  <c r="T25" i="5" s="1"/>
  <c r="O25" i="5"/>
  <c r="S25" i="5" s="1"/>
  <c r="M25" i="5"/>
  <c r="N25" i="5" s="1"/>
  <c r="L25" i="5"/>
  <c r="G25" i="5"/>
  <c r="F25" i="5"/>
  <c r="E25" i="5"/>
  <c r="C25" i="5"/>
  <c r="T24" i="5"/>
  <c r="S24" i="5"/>
  <c r="U24" i="5" s="1"/>
  <c r="R24" i="5"/>
  <c r="Q24" i="5"/>
  <c r="P24" i="5"/>
  <c r="O24" i="5"/>
  <c r="M24" i="5"/>
  <c r="L24" i="5"/>
  <c r="N24" i="5" s="1"/>
  <c r="G24" i="5"/>
  <c r="F24" i="5"/>
  <c r="E24" i="5"/>
  <c r="C24" i="5"/>
  <c r="R23" i="5"/>
  <c r="Q23" i="5"/>
  <c r="P23" i="5"/>
  <c r="T23" i="5" s="1"/>
  <c r="O23" i="5"/>
  <c r="M23" i="5"/>
  <c r="L23" i="5"/>
  <c r="N23" i="5" s="1"/>
  <c r="G23" i="5"/>
  <c r="F23" i="5"/>
  <c r="E23" i="5"/>
  <c r="C23" i="5"/>
  <c r="R22" i="5"/>
  <c r="Q22" i="5"/>
  <c r="P22" i="5"/>
  <c r="T22" i="5" s="1"/>
  <c r="O22" i="5"/>
  <c r="S22" i="5" s="1"/>
  <c r="U22" i="5" s="1"/>
  <c r="M22" i="5"/>
  <c r="L22" i="5"/>
  <c r="N22" i="5" s="1"/>
  <c r="G22" i="5"/>
  <c r="F22" i="5"/>
  <c r="E22" i="5"/>
  <c r="C22" i="5"/>
  <c r="T21" i="5"/>
  <c r="R21" i="5"/>
  <c r="Q21" i="5"/>
  <c r="S21" i="5" s="1"/>
  <c r="U21" i="5" s="1"/>
  <c r="P21" i="5"/>
  <c r="O21" i="5"/>
  <c r="M21" i="5"/>
  <c r="L21" i="5"/>
  <c r="G21" i="5"/>
  <c r="F21" i="5"/>
  <c r="E21" i="5"/>
  <c r="C21" i="5"/>
  <c r="R20" i="5"/>
  <c r="Q20" i="5"/>
  <c r="P20" i="5"/>
  <c r="T20" i="5" s="1"/>
  <c r="O20" i="5"/>
  <c r="S20" i="5" s="1"/>
  <c r="M20" i="5"/>
  <c r="L20" i="5"/>
  <c r="N20" i="5" s="1"/>
  <c r="G20" i="5"/>
  <c r="F20" i="5"/>
  <c r="E20" i="5"/>
  <c r="C20" i="5"/>
  <c r="S19" i="5"/>
  <c r="R19" i="5"/>
  <c r="T19" i="5" s="1"/>
  <c r="U19" i="5" s="1"/>
  <c r="Q19" i="5"/>
  <c r="P19" i="5"/>
  <c r="O19" i="5"/>
  <c r="M19" i="5"/>
  <c r="L19" i="5"/>
  <c r="G19" i="5"/>
  <c r="F19" i="5"/>
  <c r="E19" i="5"/>
  <c r="C19" i="5"/>
  <c r="R18" i="5"/>
  <c r="Q18" i="5"/>
  <c r="S18" i="5" s="1"/>
  <c r="P18" i="5"/>
  <c r="O18" i="5"/>
  <c r="M18" i="5"/>
  <c r="L18" i="5"/>
  <c r="G18" i="5"/>
  <c r="F18" i="5"/>
  <c r="E18" i="5"/>
  <c r="C18" i="5"/>
  <c r="R17" i="5"/>
  <c r="Q17" i="5"/>
  <c r="P17" i="5"/>
  <c r="T17" i="5" s="1"/>
  <c r="O17" i="5"/>
  <c r="S17" i="5" s="1"/>
  <c r="U17" i="5" s="1"/>
  <c r="M17" i="5"/>
  <c r="N17" i="5" s="1"/>
  <c r="L17" i="5"/>
  <c r="G17" i="5"/>
  <c r="F17" i="5"/>
  <c r="E17" i="5"/>
  <c r="C17" i="5"/>
  <c r="U16" i="5"/>
  <c r="T16" i="5"/>
  <c r="S16" i="5"/>
  <c r="R16" i="5"/>
  <c r="Q16" i="5"/>
  <c r="P16" i="5"/>
  <c r="O16" i="5"/>
  <c r="M16" i="5"/>
  <c r="L16" i="5"/>
  <c r="G16" i="5"/>
  <c r="F16" i="5"/>
  <c r="E16" i="5"/>
  <c r="C16" i="5"/>
  <c r="R15" i="5"/>
  <c r="T15" i="5" s="1"/>
  <c r="Q15" i="5"/>
  <c r="P15" i="5"/>
  <c r="O15" i="5"/>
  <c r="M15" i="5"/>
  <c r="L15" i="5"/>
  <c r="N15" i="5" s="1"/>
  <c r="G15" i="5"/>
  <c r="F15" i="5"/>
  <c r="E15" i="5"/>
  <c r="C15" i="5"/>
  <c r="R14" i="5"/>
  <c r="Q14" i="5"/>
  <c r="P14" i="5"/>
  <c r="T14" i="5" s="1"/>
  <c r="O14" i="5"/>
  <c r="S14" i="5" s="1"/>
  <c r="U14" i="5" s="1"/>
  <c r="M14" i="5"/>
  <c r="L14" i="5"/>
  <c r="N14" i="5" s="1"/>
  <c r="G14" i="5"/>
  <c r="F14" i="5"/>
  <c r="E14" i="5"/>
  <c r="C14" i="5"/>
  <c r="R13" i="5"/>
  <c r="T13" i="5" s="1"/>
  <c r="Q13" i="5"/>
  <c r="P13" i="5"/>
  <c r="O13" i="5"/>
  <c r="S13" i="5" s="1"/>
  <c r="M13" i="5"/>
  <c r="L13" i="5"/>
  <c r="G13" i="5"/>
  <c r="F13" i="5"/>
  <c r="E13" i="5"/>
  <c r="C13" i="5"/>
  <c r="U12" i="5"/>
  <c r="R12" i="5"/>
  <c r="Q12" i="5"/>
  <c r="P12" i="5"/>
  <c r="T12" i="5" s="1"/>
  <c r="O12" i="5"/>
  <c r="S12" i="5" s="1"/>
  <c r="M12" i="5"/>
  <c r="L12" i="5"/>
  <c r="G12" i="5"/>
  <c r="F12" i="5"/>
  <c r="E12" i="5"/>
  <c r="C12" i="5"/>
  <c r="U11" i="5"/>
  <c r="S11" i="5"/>
  <c r="R11" i="5"/>
  <c r="T11" i="5" s="1"/>
  <c r="Q11" i="5"/>
  <c r="P11" i="5"/>
  <c r="O11" i="5"/>
  <c r="M11" i="5"/>
  <c r="N11" i="5" s="1"/>
  <c r="L11" i="5"/>
  <c r="G11" i="5"/>
  <c r="F11" i="5"/>
  <c r="E11" i="5"/>
  <c r="C11" i="5"/>
  <c r="U10" i="5"/>
  <c r="R10" i="5"/>
  <c r="Q10" i="5"/>
  <c r="P10" i="5"/>
  <c r="T10" i="5" s="1"/>
  <c r="O10" i="5"/>
  <c r="M10" i="5"/>
  <c r="L10" i="5"/>
  <c r="G10" i="5"/>
  <c r="F10" i="5"/>
  <c r="E10" i="5"/>
  <c r="C10" i="5"/>
  <c r="R9" i="5"/>
  <c r="Q9" i="5"/>
  <c r="P9" i="5"/>
  <c r="T9" i="5" s="1"/>
  <c r="O9" i="5"/>
  <c r="S9" i="5" s="1"/>
  <c r="M9" i="5"/>
  <c r="N9" i="5" s="1"/>
  <c r="L9" i="5"/>
  <c r="G9" i="5"/>
  <c r="F9" i="5"/>
  <c r="E9" i="5"/>
  <c r="C9" i="5"/>
  <c r="R8" i="5"/>
  <c r="T8" i="5" s="1"/>
  <c r="Q8" i="5"/>
  <c r="P8" i="5"/>
  <c r="O8" i="5"/>
  <c r="G30" i="1" s="1"/>
  <c r="M8" i="5"/>
  <c r="L8" i="5"/>
  <c r="N8" i="5" s="1"/>
  <c r="G8" i="5"/>
  <c r="F8" i="5"/>
  <c r="E8" i="5"/>
  <c r="C8" i="5"/>
  <c r="R7" i="5"/>
  <c r="Q7" i="5"/>
  <c r="P7" i="5"/>
  <c r="O7" i="5"/>
  <c r="M7" i="5"/>
  <c r="L7" i="5"/>
  <c r="N7" i="5" s="1"/>
  <c r="G7" i="5"/>
  <c r="F7" i="5"/>
  <c r="E7" i="5"/>
  <c r="C7" i="5"/>
  <c r="R6" i="5"/>
  <c r="Q6" i="5"/>
  <c r="P6" i="5"/>
  <c r="O6" i="5"/>
  <c r="M6" i="5"/>
  <c r="L6" i="5"/>
  <c r="N6" i="5" s="1"/>
  <c r="G6" i="5"/>
  <c r="F6" i="5"/>
  <c r="E6" i="5"/>
  <c r="C6" i="5"/>
  <c r="R5" i="5"/>
  <c r="Q5" i="5"/>
  <c r="P5" i="5"/>
  <c r="T5" i="5" s="1"/>
  <c r="O5" i="5"/>
  <c r="M5" i="5"/>
  <c r="L5" i="5"/>
  <c r="G5" i="5"/>
  <c r="F5" i="5"/>
  <c r="E5" i="5"/>
  <c r="C5" i="5"/>
  <c r="R4" i="5"/>
  <c r="Q4" i="5"/>
  <c r="P4" i="5"/>
  <c r="T4" i="5" s="1"/>
  <c r="O4" i="5"/>
  <c r="S4" i="5" s="1"/>
  <c r="M4" i="5"/>
  <c r="L4" i="5"/>
  <c r="N4" i="5" s="1"/>
  <c r="G4" i="5"/>
  <c r="F4" i="5"/>
  <c r="E4" i="5"/>
  <c r="C4" i="5"/>
  <c r="C6" i="4"/>
  <c r="C5" i="4"/>
  <c r="C4" i="4"/>
  <c r="E49" i="1"/>
  <c r="D49" i="1"/>
  <c r="C49" i="1"/>
  <c r="B49" i="1"/>
  <c r="A49" i="1"/>
  <c r="O49" i="1" s="1"/>
  <c r="O48" i="1"/>
  <c r="E48" i="1"/>
  <c r="D48" i="1"/>
  <c r="C48" i="1"/>
  <c r="B48" i="1"/>
  <c r="A48" i="1"/>
  <c r="E47" i="1"/>
  <c r="D47" i="1"/>
  <c r="C47" i="1"/>
  <c r="B47" i="1"/>
  <c r="A47" i="1"/>
  <c r="O47" i="1" s="1"/>
  <c r="E46" i="1"/>
  <c r="D46" i="1"/>
  <c r="C46" i="1"/>
  <c r="B46" i="1"/>
  <c r="A46" i="1"/>
  <c r="O46" i="1" s="1"/>
  <c r="E45" i="1"/>
  <c r="D45" i="1"/>
  <c r="C45" i="1"/>
  <c r="B45" i="1"/>
  <c r="A45" i="1"/>
  <c r="O44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O42" i="1" s="1"/>
  <c r="E41" i="1"/>
  <c r="D41" i="1"/>
  <c r="C41" i="1"/>
  <c r="B41" i="1"/>
  <c r="A41" i="1"/>
  <c r="O40" i="1"/>
  <c r="E40" i="1"/>
  <c r="D40" i="1"/>
  <c r="C40" i="1"/>
  <c r="B40" i="1"/>
  <c r="A40" i="1"/>
  <c r="E35" i="1"/>
  <c r="D35" i="1"/>
  <c r="C35" i="1"/>
  <c r="B35" i="1"/>
  <c r="A35" i="1"/>
  <c r="E34" i="1"/>
  <c r="D34" i="1"/>
  <c r="C34" i="1"/>
  <c r="B34" i="1"/>
  <c r="A34" i="1"/>
  <c r="H34" i="1" s="1"/>
  <c r="H33" i="1"/>
  <c r="E33" i="1"/>
  <c r="D33" i="1"/>
  <c r="C33" i="1"/>
  <c r="B33" i="1"/>
  <c r="A33" i="1"/>
  <c r="E32" i="1"/>
  <c r="D32" i="1"/>
  <c r="C32" i="1"/>
  <c r="B32" i="1"/>
  <c r="A32" i="1"/>
  <c r="E31" i="1"/>
  <c r="D31" i="1"/>
  <c r="C31" i="1"/>
  <c r="B31" i="1"/>
  <c r="A31" i="1"/>
  <c r="G31" i="1" s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H27" i="1"/>
  <c r="E27" i="1"/>
  <c r="D27" i="1"/>
  <c r="C27" i="1"/>
  <c r="B27" i="1"/>
  <c r="A27" i="1"/>
  <c r="E26" i="1"/>
  <c r="D26" i="1"/>
  <c r="C26" i="1"/>
  <c r="B26" i="1"/>
  <c r="A26" i="1"/>
  <c r="D5" i="1"/>
  <c r="A5" i="1"/>
  <c r="U20" i="5" l="1"/>
  <c r="F46" i="1" s="1"/>
  <c r="N10" i="5"/>
  <c r="K40" i="1"/>
  <c r="T7" i="5"/>
  <c r="K46" i="1"/>
  <c r="J49" i="1"/>
  <c r="S26" i="5"/>
  <c r="U26" i="5" s="1"/>
  <c r="T32" i="5"/>
  <c r="S10" i="5"/>
  <c r="F32" i="1" s="1"/>
  <c r="J32" i="1" s="1"/>
  <c r="N13" i="5"/>
  <c r="N49" i="1" s="1"/>
  <c r="N19" i="5"/>
  <c r="S23" i="5"/>
  <c r="U23" i="5" s="1"/>
  <c r="S6" i="5"/>
  <c r="H31" i="1"/>
  <c r="T6" i="5"/>
  <c r="O11" i="1" s="1"/>
  <c r="N12" i="5"/>
  <c r="N48" i="1" s="1"/>
  <c r="G35" i="1"/>
  <c r="H29" i="1"/>
  <c r="H28" i="1"/>
  <c r="U25" i="5"/>
  <c r="S5" i="5"/>
  <c r="N18" i="5"/>
  <c r="N21" i="5"/>
  <c r="N47" i="1" s="1"/>
  <c r="H30" i="1"/>
  <c r="S15" i="5"/>
  <c r="U15" i="5" s="1"/>
  <c r="T18" i="5"/>
  <c r="K44" i="1" s="1"/>
  <c r="N27" i="5"/>
  <c r="U18" i="5"/>
  <c r="S31" i="5"/>
  <c r="N30" i="5"/>
  <c r="T31" i="5"/>
  <c r="J47" i="1" s="1"/>
  <c r="U32" i="5"/>
  <c r="G48" i="1" s="1"/>
  <c r="N5" i="5"/>
  <c r="G27" i="1"/>
  <c r="K33" i="1"/>
  <c r="J41" i="1"/>
  <c r="H35" i="1"/>
  <c r="S8" i="5"/>
  <c r="U8" i="5" s="1"/>
  <c r="G44" i="1" s="1"/>
  <c r="T30" i="5"/>
  <c r="H26" i="1"/>
  <c r="N16" i="5"/>
  <c r="K28" i="1"/>
  <c r="J43" i="1"/>
  <c r="K43" i="1"/>
  <c r="U4" i="5"/>
  <c r="L40" i="1" s="1"/>
  <c r="K26" i="1"/>
  <c r="I26" i="1"/>
  <c r="I40" i="1"/>
  <c r="F26" i="1"/>
  <c r="U13" i="5"/>
  <c r="G49" i="1" s="1"/>
  <c r="F31" i="1"/>
  <c r="U29" i="5"/>
  <c r="F28" i="1"/>
  <c r="U6" i="5"/>
  <c r="F42" i="1" s="1"/>
  <c r="I42" i="1"/>
  <c r="N45" i="1"/>
  <c r="K32" i="1"/>
  <c r="J45" i="1"/>
  <c r="U9" i="5"/>
  <c r="K45" i="1"/>
  <c r="U5" i="5"/>
  <c r="K27" i="1"/>
  <c r="H41" i="1"/>
  <c r="I41" i="1"/>
  <c r="I27" i="1"/>
  <c r="H45" i="1"/>
  <c r="H47" i="1"/>
  <c r="F33" i="1"/>
  <c r="J33" i="1" s="1"/>
  <c r="U31" i="5"/>
  <c r="M47" i="1" s="1"/>
  <c r="H42" i="1"/>
  <c r="N43" i="1"/>
  <c r="K34" i="1"/>
  <c r="I34" i="1"/>
  <c r="L34" i="1" s="1"/>
  <c r="F34" i="1"/>
  <c r="J34" i="1" s="1"/>
  <c r="N41" i="1"/>
  <c r="I31" i="1"/>
  <c r="H40" i="1"/>
  <c r="J42" i="1"/>
  <c r="N46" i="1"/>
  <c r="F30" i="1"/>
  <c r="S7" i="5"/>
  <c r="I29" i="1" s="1"/>
  <c r="L29" i="1" s="1"/>
  <c r="G26" i="1"/>
  <c r="K31" i="1"/>
  <c r="G34" i="1"/>
  <c r="K35" i="1"/>
  <c r="J40" i="1"/>
  <c r="K41" i="1"/>
  <c r="N44" i="1"/>
  <c r="O45" i="1"/>
  <c r="I30" i="1"/>
  <c r="N42" i="1"/>
  <c r="O43" i="1"/>
  <c r="G29" i="1"/>
  <c r="G33" i="1"/>
  <c r="N40" i="1"/>
  <c r="O41" i="1"/>
  <c r="O50" i="1" s="1"/>
  <c r="I33" i="1"/>
  <c r="L33" i="1" s="1"/>
  <c r="H48" i="1"/>
  <c r="I48" i="1"/>
  <c r="G28" i="1"/>
  <c r="G32" i="1"/>
  <c r="H46" i="1"/>
  <c r="I47" i="1"/>
  <c r="J48" i="1"/>
  <c r="K49" i="1"/>
  <c r="H32" i="1"/>
  <c r="H36" i="1" s="1"/>
  <c r="I46" i="1"/>
  <c r="K48" i="1"/>
  <c r="I28" i="1"/>
  <c r="L28" i="1" s="1"/>
  <c r="I32" i="1"/>
  <c r="L32" i="1" s="1"/>
  <c r="H44" i="1"/>
  <c r="I45" i="1"/>
  <c r="J46" i="1"/>
  <c r="K47" i="1"/>
  <c r="L46" i="1" l="1"/>
  <c r="K30" i="1"/>
  <c r="L44" i="1"/>
  <c r="F48" i="1"/>
  <c r="M46" i="1"/>
  <c r="M48" i="1"/>
  <c r="F44" i="1"/>
  <c r="L48" i="1"/>
  <c r="J31" i="1"/>
  <c r="I35" i="1"/>
  <c r="L35" i="1" s="1"/>
  <c r="G46" i="1"/>
  <c r="H49" i="1"/>
  <c r="M41" i="1"/>
  <c r="F35" i="1"/>
  <c r="J35" i="1" s="1"/>
  <c r="I49" i="1"/>
  <c r="F27" i="1"/>
  <c r="J27" i="1" s="1"/>
  <c r="K42" i="1"/>
  <c r="K50" i="1" s="1"/>
  <c r="J44" i="1"/>
  <c r="G45" i="1"/>
  <c r="M44" i="1"/>
  <c r="L30" i="1"/>
  <c r="I44" i="1"/>
  <c r="H43" i="1"/>
  <c r="F29" i="1"/>
  <c r="J29" i="1" s="1"/>
  <c r="U7" i="5"/>
  <c r="O13" i="1" s="1"/>
  <c r="G36" i="1"/>
  <c r="J30" i="1"/>
  <c r="K29" i="1"/>
  <c r="F47" i="1"/>
  <c r="J26" i="1"/>
  <c r="H50" i="1"/>
  <c r="G42" i="1"/>
  <c r="M42" i="1"/>
  <c r="I36" i="1"/>
  <c r="L26" i="1"/>
  <c r="G47" i="1"/>
  <c r="L31" i="1"/>
  <c r="J28" i="1"/>
  <c r="K36" i="1"/>
  <c r="L47" i="1"/>
  <c r="O10" i="1"/>
  <c r="J5" i="1"/>
  <c r="M40" i="1"/>
  <c r="G40" i="1"/>
  <c r="L42" i="1"/>
  <c r="M49" i="1"/>
  <c r="F40" i="1"/>
  <c r="J50" i="1"/>
  <c r="L49" i="1"/>
  <c r="F49" i="1"/>
  <c r="I43" i="1"/>
  <c r="I50" i="1" s="1"/>
  <c r="F41" i="1"/>
  <c r="L41" i="1"/>
  <c r="N50" i="1"/>
  <c r="F45" i="1"/>
  <c r="L45" i="1"/>
  <c r="M45" i="1"/>
  <c r="G41" i="1"/>
  <c r="F36" i="1" l="1"/>
  <c r="L27" i="1"/>
  <c r="G5" i="1"/>
  <c r="M5" i="1"/>
  <c r="O9" i="1"/>
  <c r="O12" i="1"/>
  <c r="F43" i="1"/>
  <c r="F50" i="1" s="1"/>
  <c r="L43" i="1"/>
  <c r="L50" i="1" s="1"/>
  <c r="M43" i="1"/>
  <c r="M50" i="1" s="1"/>
  <c r="G43" i="1"/>
  <c r="G50" i="1" s="1"/>
</calcChain>
</file>

<file path=xl/sharedStrings.xml><?xml version="1.0" encoding="utf-8"?>
<sst xmlns="http://schemas.openxmlformats.org/spreadsheetml/2006/main" count="344" uniqueCount="236">
  <si>
    <t>KHY-HENG ATTENDANCE SYSTEM - ATTENDANCE REPORT &amp; ANALYTICS</t>
  </si>
  <si>
    <t>របាយការណ៍វត្តមាន ស្ថិតិក្រាហ្វិក និងតារាងវិភាគភាពយឺតយ៉ាវ (Attendance Analytics, Visual Charts &amp; Late Tracking Table)</t>
  </si>
  <si>
    <t>TOTAL EMPLOYEES (បុគ្គលិកសរុប)</t>
  </si>
  <si>
    <t>LOGGED ATTENDANCE (វត្តមានកត់ត្រា)</t>
  </si>
  <si>
    <t>ON TIME (ទាន់ពេល)</t>
  </si>
  <si>
    <t>LATE ARRIVALS (ការមកយឺត)</t>
  </si>
  <si>
    <t>EARLY / ABSENT (ចេញមុន &amp; អវត្តមាន)</t>
  </si>
  <si>
    <t>Status Category</t>
  </si>
  <si>
    <t>Record Count</t>
  </si>
  <si>
    <t>On Time (ទាន់ពេល)</t>
  </si>
  <si>
    <t>Late (មកយឺត)</t>
  </si>
  <si>
    <t>Early Leave (ចេញមុន)</t>
  </si>
  <si>
    <t>Leave (ច្បាប់)</t>
  </si>
  <si>
    <t>Absent (អវត្តមាន)</t>
  </si>
  <si>
    <t>1. LATE ATTENDANCE &amp; PUNCTUALITY ANALYSIS TABLE (តារាងតាមដាន និងវិភាគភាពយឺតយ៉ាវរបស់បុគ្គលិក)</t>
  </si>
  <si>
    <t>Staff ID (អត្តលេខ)</t>
  </si>
  <si>
    <t>Employee Name (EN)</t>
  </si>
  <si>
    <t>Employee Name (KH)</t>
  </si>
  <si>
    <t>Department (ផ្នែក)</t>
  </si>
  <si>
    <t>Scheduled Days</t>
  </si>
  <si>
    <t>Late Count (ដងយឺត)</t>
  </si>
  <si>
    <t>Morning Late (នាទីព្រឹក)</t>
  </si>
  <si>
    <t>Afternoon Late (នាទីរសៀល)</t>
  </si>
  <si>
    <t>Total Late Mins (សរុបនាទីយឺត)</t>
  </si>
  <si>
    <t>Avg Late (មធ្យម/ដង)</t>
  </si>
  <si>
    <t>Exceeded Grace (&gt;15m)</t>
  </si>
  <si>
    <t>Late Status / Action (កម្រិតចំណាត់ការ)</t>
  </si>
  <si>
    <t>TOTAL LATE (សរុប)</t>
  </si>
  <si>
    <t>2. OVERALL ATTENDANCE SUMMARY TABLE (តារាងសង្ខេបវត្តមានទូទៅប្រចាំខែ)</t>
  </si>
  <si>
    <t>Present Days (វត្តមាន)</t>
  </si>
  <si>
    <t>Total Late Mins (នាទីយឺត)</t>
  </si>
  <si>
    <t>Early Count (ដងចេញមុន)</t>
  </si>
  <si>
    <t>Total Early Mins (នាទីចេញមុន)</t>
  </si>
  <si>
    <t>Leave Days (ច្បាប់)</t>
  </si>
  <si>
    <t>Absent Days (អវត្តមាន)</t>
  </si>
  <si>
    <t>Total Work Hours (ម៉ោងការងារ)</t>
  </si>
  <si>
    <t>Overtime Hours (OT)</t>
  </si>
  <si>
    <t>OVERALL TOTAL (សរុបរួម)</t>
  </si>
  <si>
    <t>KHY-HENG ATTENDANCE SYSTEM - SETTINGS &amp; CONFIGURATION (ការកំណត់ប្រព័ន្ធ)</t>
  </si>
  <si>
    <t>COMPANY WORK HOURS &amp; SHIFT RULES (ម៉ោងការងារស្តង់ដារក្រុមហ៊ុន)</t>
  </si>
  <si>
    <t>DEPARTMENTS (ផ្នែក)</t>
  </si>
  <si>
    <t>Parameter Name (ប៉ារ៉ាម៉ែត្រ)</t>
  </si>
  <si>
    <t>Value (តម្លៃ)</t>
  </si>
  <si>
    <t>Unit / Details (ខ្នាត / បរិយាយ)</t>
  </si>
  <si>
    <t>System Code</t>
  </si>
  <si>
    <t>Dept Code</t>
  </si>
  <si>
    <t>Department (EN / KH)</t>
  </si>
  <si>
    <t>Morning Shift Start (ម៉ោងចូលវេនព្រឹក)</t>
  </si>
  <si>
    <t>HH:MM (Shift 1 In)</t>
  </si>
  <si>
    <t>shift_1_start</t>
  </si>
  <si>
    <t>IT</t>
  </si>
  <si>
    <t>Information Technology (បច្ចេកវិទ្យាព័ត៌មាន)</t>
  </si>
  <si>
    <t>Morning Shift End (ម៉ោងចេញវេនព្រឹក)</t>
  </si>
  <si>
    <t>HH:MM (Shift 1 Out)</t>
  </si>
  <si>
    <t>shift_1_end</t>
  </si>
  <si>
    <t>HR</t>
  </si>
  <si>
    <t>Human Resources (ធនធានមនុស្ស)</t>
  </si>
  <si>
    <t>Afternoon Shift Start (ម៉ោងចូលវេនរសៀល)</t>
  </si>
  <si>
    <t>HH:MM (Shift 2 In)</t>
  </si>
  <si>
    <t>shift_2_start</t>
  </si>
  <si>
    <t>FIN</t>
  </si>
  <si>
    <t>Finance &amp; Accounting (ហិរញ្ញវត្ថុ និងគណនេយ្យ)</t>
  </si>
  <si>
    <t>Afternoon Shift End (ម៉ោងចេញវេនរសៀល)</t>
  </si>
  <si>
    <t>HH:MM (Shift 2 Out)</t>
  </si>
  <si>
    <t>shift_2_end</t>
  </si>
  <si>
    <t>MKT</t>
  </si>
  <si>
    <t>Marketing &amp; Operations (ទីផ្សារ និងប្រតិបត្តិការ)</t>
  </si>
  <si>
    <t>Late Grace Period (នាទីអនុគ្រោះយឺត)</t>
  </si>
  <si>
    <t>Minutes (អនុគ្រោះយឺត ១៥នាទី)</t>
  </si>
  <si>
    <t>late_grace_minutes</t>
  </si>
  <si>
    <t>Standard Daily Work Hours (ម៉ោងការងារប្រចាំថ្ងៃ)</t>
  </si>
  <si>
    <t>Hours / Day</t>
  </si>
  <si>
    <t>standard_daily_hours</t>
  </si>
  <si>
    <t>Standard Monthly Working Days (ថ្ងៃការងារប្រចាំខែ)</t>
  </si>
  <si>
    <t>Days / Month</t>
  </si>
  <si>
    <t>standard_working_days</t>
  </si>
  <si>
    <t>LEAVE TYPES &amp; ALLOWANCES (ប្រភេទច្បាប់ឈប់សម្រាក)</t>
  </si>
  <si>
    <t>Code</t>
  </si>
  <si>
    <t>Leave Type (EN)</t>
  </si>
  <si>
    <t>Leave Type (KH)</t>
  </si>
  <si>
    <t>Max Days / Year</t>
  </si>
  <si>
    <t>Paid / Unpaid</t>
  </si>
  <si>
    <t>AL</t>
  </si>
  <si>
    <t>Annual Leave</t>
  </si>
  <si>
    <t>ច្បាប់សម្រាកប្រចាំឆ្នាំ</t>
  </si>
  <si>
    <t>Paid</t>
  </si>
  <si>
    <t>SL</t>
  </si>
  <si>
    <t>Sick Leave</t>
  </si>
  <si>
    <t>ច្បាប់ឈឺ</t>
  </si>
  <si>
    <t>PL</t>
  </si>
  <si>
    <t>Personal Leave</t>
  </si>
  <si>
    <t>ច្បាប់ផ្ទាល់ខ្លួន</t>
  </si>
  <si>
    <t>ML</t>
  </si>
  <si>
    <t>Maternity Leave</t>
  </si>
  <si>
    <t>ច្បាប់លំហែមាតុភាព</t>
  </si>
  <si>
    <t>Paid (50%-100%)</t>
  </si>
  <si>
    <t>UL</t>
  </si>
  <si>
    <t>Unpaid Leave</t>
  </si>
  <si>
    <t>ច្បាប់គ្មានប្រាក់ឈ្នួល</t>
  </si>
  <si>
    <t>Unpaid</t>
  </si>
  <si>
    <t>EMPLOYEE MASTER DIRECTORY (បញ្ជីឈ្មោះបុគ្គលិក)</t>
  </si>
  <si>
    <t>Name in English (ឈ្មោះអង់គ្លេស)</t>
  </si>
  <si>
    <t>Name in Khmer (ឈ្មោះខ្មែរ)</t>
  </si>
  <si>
    <t>Gender (ភេទ)</t>
  </si>
  <si>
    <t>Position (តួនាទី)</t>
  </si>
  <si>
    <t>Branch (សាខា)</t>
  </si>
  <si>
    <t>Shift 1 In</t>
  </si>
  <si>
    <t>Shift 1 Out</t>
  </si>
  <si>
    <t>Shift 2 In</t>
  </si>
  <si>
    <t>Shift 2 Out</t>
  </si>
  <si>
    <t>EMP-001</t>
  </si>
  <si>
    <t>Khoem Piseth</t>
  </si>
  <si>
    <t>ខឹម ពិសិដ្ឋ</t>
  </si>
  <si>
    <t>Male</t>
  </si>
  <si>
    <t>Information Technology</t>
  </si>
  <si>
    <t>IT Manager</t>
  </si>
  <si>
    <t>Phnom Penh HQ</t>
  </si>
  <si>
    <t>EMP-002</t>
  </si>
  <si>
    <t>Keo Sophea</t>
  </si>
  <si>
    <t>កែវ សុភា</t>
  </si>
  <si>
    <t>Female</t>
  </si>
  <si>
    <t>Human Resources</t>
  </si>
  <si>
    <t>HR Manager</t>
  </si>
  <si>
    <t>EMP-003</t>
  </si>
  <si>
    <t>Chan Dara</t>
  </si>
  <si>
    <t>ចាន់ ដារ៉ា</t>
  </si>
  <si>
    <t>Senior Software Engineer</t>
  </si>
  <si>
    <t>EMP-004</t>
  </si>
  <si>
    <t>Sok Chenda</t>
  </si>
  <si>
    <t>សុខ ចិន្តា</t>
  </si>
  <si>
    <t>Finance &amp; Accounting</t>
  </si>
  <si>
    <t>Senior Accountant</t>
  </si>
  <si>
    <t>EMP-005</t>
  </si>
  <si>
    <t>Meng Chhay</t>
  </si>
  <si>
    <t>ម៉េង ឆាយ</t>
  </si>
  <si>
    <t>Marketing &amp; Operations</t>
  </si>
  <si>
    <t>Marketing Lead</t>
  </si>
  <si>
    <t>EMP-006</t>
  </si>
  <si>
    <t>Vannak Bopha</t>
  </si>
  <si>
    <t>វណ្ណៈ បុប្ផា</t>
  </si>
  <si>
    <t>HR Specialist</t>
  </si>
  <si>
    <t>EMP-007</t>
  </si>
  <si>
    <t>Rithy Visal</t>
  </si>
  <si>
    <t>រិទ្ធី វិសាល</t>
  </si>
  <si>
    <t>UI/UX Designer</t>
  </si>
  <si>
    <t>EMP-008</t>
  </si>
  <si>
    <t>Chhorn Sreyneang</t>
  </si>
  <si>
    <t>ឈន ស្រីនាង</t>
  </si>
  <si>
    <t>Junior Accountant</t>
  </si>
  <si>
    <t>EMP-009</t>
  </si>
  <si>
    <t>Long Kosal</t>
  </si>
  <si>
    <t>ឡុង កុសល</t>
  </si>
  <si>
    <t>Network Specialist</t>
  </si>
  <si>
    <t>EMP-010</t>
  </si>
  <si>
    <t>Tep Nimol</t>
  </si>
  <si>
    <t>ទេព និមល</t>
  </si>
  <si>
    <t>Operations Officer</t>
  </si>
  <si>
    <t>LEAVE REQUESTS &amp; APPROVALS (ការសុំច្បាប់ និងការអនុម័ត)</t>
  </si>
  <si>
    <t>Leave ID</t>
  </si>
  <si>
    <t>Staff ID</t>
  </si>
  <si>
    <t>Leave Type</t>
  </si>
  <si>
    <t>Date (កាលបរិច្ឆេទ)</t>
  </si>
  <si>
    <t>Duration (រយៈពេល)</t>
  </si>
  <si>
    <t>Amount Days</t>
  </si>
  <si>
    <t>Status (ស្ថានភាព)</t>
  </si>
  <si>
    <t>Reason / Remarks (មូលហេតុ)</t>
  </si>
  <si>
    <t>LV-2026-001</t>
  </si>
  <si>
    <t>Full Day</t>
  </si>
  <si>
    <t>Approved</t>
  </si>
  <si>
    <t>Family event</t>
  </si>
  <si>
    <t>LV-2026-002</t>
  </si>
  <si>
    <t>Fever and medical checkup</t>
  </si>
  <si>
    <t>LV-2026-003</t>
  </si>
  <si>
    <t>Medical leave approved</t>
  </si>
  <si>
    <t>DAILY ATTENDANCE LOG &amp; AUTOMATIC COMPUTATION (កំណត់ត្រាវត្តមានប្រចាំថ្ងៃ និងគណនារូបមន្តស្វ័យប្រវត្តិ)</t>
  </si>
  <si>
    <t>✓ រូបមន្តគណនាស្វ័យប្រវត្តិតាមច្បាប់ការងារ: ម៉ោងចូលវេនព្រឹក 08:00 (អនុគ្រោះ 15 នាទី), ម៉ោងចេញវេនព្រឹក 12:00, ម៉ោងចូលវេនរសៀល 13:00 (អនុគ្រោះ 15 នាទី), ម៉ោងចេញវេនរសៀល 17:00</t>
  </si>
  <si>
    <t>No.</t>
  </si>
  <si>
    <t>Day of Week</t>
  </si>
  <si>
    <t>Check-in 1 (ព្រឹកចូល)</t>
  </si>
  <si>
    <t>Check-out 1 (ព្រឹកចេញ)</t>
  </si>
  <si>
    <t>Check-in 2 (រសៀលចូល)</t>
  </si>
  <si>
    <t>Check-out 2 (រសៀលចេញ)</t>
  </si>
  <si>
    <t>Shift 1 Hours (ម៉ោងវេន១)</t>
  </si>
  <si>
    <t>Shift 2 Hours (ម៉ោងវេន២)</t>
  </si>
  <si>
    <t>Total Hours (ម៉ោងសរុប)</t>
  </si>
  <si>
    <t>Late 1 (នាទីយឺតព្រឹក)</t>
  </si>
  <si>
    <t>Early 1 (នាទីចេញមុនព្រឹក)</t>
  </si>
  <si>
    <t>Late 2 (នាទីយឺតរសៀល)</t>
  </si>
  <si>
    <t>Early 2 (នាទីចេញមុនរសៀល)</t>
  </si>
  <si>
    <t>Total Late (សរុបយឺត)</t>
  </si>
  <si>
    <t>Total Early (សរុបចេញមុន)</t>
  </si>
  <si>
    <t>Daily Status (ស្ថានភាព)</t>
  </si>
  <si>
    <t>Overtime (OT ម៉ោង)</t>
  </si>
  <si>
    <t>Note / Remarks (កំណត់សម្គាល់)</t>
  </si>
  <si>
    <t>Normal on time</t>
  </si>
  <si>
    <t>Morning traffic late</t>
  </si>
  <si>
    <t>Early leave morning for errand</t>
  </si>
  <si>
    <t>Late afternoon</t>
  </si>
  <si>
    <t>Late morning &amp; early leave afternoon</t>
  </si>
  <si>
    <t>Forgot morning check-out</t>
  </si>
  <si>
    <t>Sick leave (has approval in Leaves sheet)</t>
  </si>
  <si>
    <t>Unexcused Absence</t>
  </si>
  <si>
    <t>2 hrs Overtime approved</t>
  </si>
  <si>
    <t>On time</t>
  </si>
  <si>
    <t>Late 5 mins after grace</t>
  </si>
  <si>
    <t>Within 15m grace - On time</t>
  </si>
  <si>
    <t>Late morning</t>
  </si>
  <si>
    <t>Approved Leave in Leaves sheet</t>
  </si>
  <si>
    <t>Early departure afternoon</t>
  </si>
  <si>
    <t>Approved Sick Leave in Leaves sheet</t>
  </si>
  <si>
    <t>1.5 hrs Overtime</t>
  </si>
  <si>
    <t>DETAILED LATE ATTENDANCE AUDIT LOG (កំណត់ត្រាបុគ្គលិកមកយឺតលម្អិត)</t>
  </si>
  <si>
    <t>កំណត់ត្រាជាក់លាក់នៃបុគ្គលិកដែលបានស្កេនចូលយឺតលើសពីម៉ោងកំណត់ និងលើសពី Grace Period 15 នាទី</t>
  </si>
  <si>
    <t>Department</t>
  </si>
  <si>
    <t>Check-in 1</t>
  </si>
  <si>
    <t>Shift 1 Late (Mins)</t>
  </si>
  <si>
    <t>Check-in 2</t>
  </si>
  <si>
    <t>Shift 2 Late (Mins)</t>
  </si>
  <si>
    <t>Total Late (នាទីសរុប)</t>
  </si>
  <si>
    <t>Late Analysis Note (បរិយាយភាពយឺត)</t>
  </si>
  <si>
    <t>-</t>
  </si>
  <si>
    <t>Shift 1 Late: 08:25 AM (10 mins after 15m grace)</t>
  </si>
  <si>
    <t>Shift 2 Late: 01:25 PM (10 mins after 15m grace)</t>
  </si>
  <si>
    <t>Shift 1 Late: 08:20 AM (5 mins after 15m grace)</t>
  </si>
  <si>
    <t>Shift 1 Late: 08:30 AM (15 mins after 15m grace)</t>
  </si>
  <si>
    <t>USER INSTRUCTIONS &amp; SYSTEM FORMULAS GUIDE (ការណែនាំអំពីរបៀបប្រើប្រាស់ និងរូបមន្ត)</t>
  </si>
  <si>
    <t>១. ទិដ្ឋភាពទូទៅនៃប្រព័ន្ធ (System Overview)</t>
  </si>
  <si>
    <t>File Excel នេះត្រូវបានរចនាឡើងយ៉ាងម៉ត់ចត់ដោយផ្អែកលើ logic នៃ KHY-HENG Attendance System ទាំង backend (Spring Boot) និង frontend (React) ដើម្បីគ្រប់គ្រងវត្តមាន ម៉ោងការងារ ភាពយឺតយ៉ាវ ការចេញមុន ច្បាប់សម្រាក និងម៉ោងបន្ថែម (OT) តាមស្តង់ដារជាក់ស្តែង។</t>
  </si>
  <si>
    <t>២. ផ្ទាំងរបាយការណ៍ និងក្រាហ្វិក (Attendance_Report Sheet)</t>
  </si>
  <si>
    <t>• ផ្នែកខាងលើមាន KPI Cards សំខាន់ៗចំនួន ៥ (Total Staff, Logged Days, On Time, Late Arrivals, Early/Absent)
• មាន Charts ក្រាហ្វិកគំនូសតាងចំនួន ២:
   1. Doughnut Chart: បង្ហាញភាគរយវត្តមានតាមប្រភេទ (On Time, Late, Early Leave, Leave, Absent)
   2. Bar Chart: បង្ហាញការប្រៀបធៀបនាទីមកយឺតសរុបតាមបុគ្គលិកនីមួយៗ (Total Late Minutes by Employee)
• មាន Table Late (តារាងតាមដាន និងវិភាគភាពយឺតយ៉ាវ): បង្ហាញចំនួនដងយឺត នាទីយឺតវេនព្រឹក នាទីយឺតរសៀល មធ្យមភាគនាទីយឺត និងកម្រិតព្រមាន
• មាន Overall Attendance Summary Table: បង្ហាញសរុបថ្ងៃវត្តមាន ម៉ោងការងារ និង OT ប្រចាំខែ។</t>
  </si>
  <si>
    <t>៣. កំណត់ត្រាមកយឺតលម្អិត (Late_Attendance_Log Sheet)</t>
  </si>
  <si>
    <t>• សន្លឹកនេះកត់ត្រាគ្រប់ករណីស្កេនយឺតជាក់ស្តែងទាំងអស់ ដោយបង្ហាញម៉ោងស្កេនចូល នាទីយឺតធៀបនឹង Grace Period ១៥នាទី និងកំណត់ចំណាំលម្អិតដូចក្នុងផ្ទាំង AttendanceLate នៃប្រព័ន្ធ frontend។</t>
  </si>
  <si>
    <t>៤. ការកំណត់ម៉ោង និងការអនុគ្រោះ (Settings Sheet)</t>
  </si>
  <si>
    <t>• វេនព្រឹក (Morning Shift): 08:00 - 12:00
• វេនរសៀល (Afternoon Shift): 13:00 - 17:00
• ការអនុគ្រោះយឺត (Late Grace Period): ១៥ នាទី (ប្រសិនបើចូលមុន 08:15 ឬ 13:15 មិនគិតថាយឺតទេ)
• អ្នកអាចផ្លាស់ប្តូរម៉ោងស្តង់ដារក្នុងសន្លឹក 'Settings' បានគ្រប់ពេល រូបមន្តទាំងអស់នឹង update ដោយស្វ័យប្រវត្តិ។</t>
  </si>
  <si>
    <t>៥. ការកត់ត្រាវត្តមានប្រចាំថ្ងៃ (Attendance_Daily Sheet)</t>
  </si>
  <si>
    <t>• បញ្ចូលកាលបរិច្ឆេទ និង Staff ID (មាន dropdown ងាយស្រួលជ្រើសរើស)
• បញ្ចូលម៉ោង Check-in 1, Check-out 1, Check-in 2, Check-out 2
• ប្រព័ន្ធនឹងគណនាម៉ោងការងារ នាទីមកយឺត នាទីចេញមុន និងស្ថានភាព (On Time, Late, Early Leave, Incomplete Scan, Absent, Leave) ដោយស្វ័យប្រវត្តិ។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</si>
</sst>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0.0"/>
    <numFmt numFmtId="166" formatCode="yyyy\-mm\-dd"/>
  </numFmts>
  <fonts count="24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b/>
      <sz val="11"/>
      <color rgb="FF1E293B"/>
      <name val="Segoe UI"/>
    </font>
    <font>
      <b/>
      <sz val="10"/>
      <color rgb="FFFFFFFF"/>
      <name val="Segoe UI"/>
    </font>
    <font>
      <b/>
      <sz val="10"/>
      <color rgb="FF0F172A"/>
      <name val="Segoe UI"/>
    </font>
    <font>
      <sz val="10"/>
      <color rgb="FF0F172A"/>
      <name val="Segoe UI"/>
    </font>
    <font>
      <sz val="9"/>
      <color rgb="FF64748B"/>
      <name val="Segoe UI"/>
    </font>
    <font>
      <b/>
      <sz val="9"/>
      <color rgb="FF1E3A8A"/>
      <name val="Segoe UI"/>
    </font>
    <font>
      <i/>
      <sz val="9"/>
      <color rgb="FF78350F"/>
      <name val="Segoe UI"/>
    </font>
    <font>
      <b/>
      <sz val="10"/>
      <color rgb="FFB45309"/>
      <name val="Segoe UI"/>
    </font>
    <font>
      <i/>
      <sz val="11"/>
      <color rgb="FF475569"/>
      <name val="Segoe UI"/>
    </font>
    <font>
      <b/>
      <sz val="9"/>
      <color rgb="FF475569"/>
      <name val="Segoe UI"/>
    </font>
    <font>
      <b/>
      <sz val="20"/>
      <color rgb="FF2563EB"/>
      <name val="Segoe UI"/>
    </font>
    <font>
      <b/>
      <sz val="20"/>
      <color rgb="FF0F172A"/>
      <name val="Segoe UI"/>
    </font>
    <font>
      <b/>
      <sz val="20"/>
      <color rgb="FF059669"/>
      <name val="Segoe UI"/>
    </font>
    <font>
      <b/>
      <sz val="20"/>
      <color rgb="FFD97706"/>
      <name val="Segoe UI"/>
    </font>
    <font>
      <b/>
      <sz val="20"/>
      <color rgb="FFDC2626"/>
      <name val="Segoe UI"/>
    </font>
    <font>
      <b/>
      <sz val="12"/>
      <color rgb="FF92400E"/>
      <name val="Segoe UI"/>
    </font>
    <font>
      <b/>
      <sz val="10"/>
      <color rgb="FF92400E"/>
      <name val="Segoe UI"/>
    </font>
    <font>
      <b/>
      <sz val="10"/>
      <color rgb="FF059669"/>
      <name val="Segoe UI"/>
    </font>
    <font>
      <b/>
      <sz val="10"/>
      <color rgb="FFD97706"/>
      <name val="Segoe UI"/>
    </font>
    <font>
      <b/>
      <sz val="10"/>
      <color rgb="FFEA580C"/>
      <name val="Segoe UI"/>
    </font>
    <font>
      <sz val="10"/>
      <color rgb="FF2563EB"/>
      <name val="Segoe UI"/>
    </font>
    <font>
      <b/>
      <sz val="10"/>
      <color rgb="FFDC2626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334155"/>
        <bgColor rgb="FF334155"/>
      </patternFill>
    </fill>
    <fill>
      <patternFill patternType="solid">
        <fgColor rgb="FFEFF6FF"/>
        <bgColor rgb="FFEFF6FF"/>
      </patternFill>
    </fill>
    <fill>
      <patternFill patternType="solid">
        <fgColor rgb="FFB45309"/>
        <bgColor rgb="FFB45309"/>
      </patternFill>
    </fill>
    <fill>
      <patternFill patternType="solid">
        <fgColor rgb="FFFEF3C7"/>
        <bgColor rgb="FFFEF3C7"/>
      </patternFill>
    </fill>
    <fill>
      <patternFill patternType="solid">
        <fgColor rgb="FFF1F5F9"/>
        <bgColor rgb="FFF1F5F9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5" borderId="1" xfId="0" applyFont="1" applyFill="1" applyBorder="1"/>
    <xf numFmtId="0" fontId="5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17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1" fontId="9" fillId="4" borderId="1" xfId="0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18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1" fontId="3" fillId="7" borderId="1" xfId="0" applyNumberFormat="1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19" fillId="4" borderId="1" xfId="0" applyNumberFormat="1" applyFont="1" applyFill="1" applyBorder="1" applyAlignment="1">
      <alignment horizontal="center"/>
    </xf>
    <xf numFmtId="1" fontId="20" fillId="4" borderId="1" xfId="0" applyNumberFormat="1" applyFont="1" applyFill="1" applyBorder="1" applyAlignment="1">
      <alignment horizontal="center"/>
    </xf>
    <xf numFmtId="1" fontId="21" fillId="4" borderId="1" xfId="0" applyNumberFormat="1" applyFont="1" applyFill="1" applyBorder="1" applyAlignment="1">
      <alignment horizontal="center"/>
    </xf>
    <xf numFmtId="1" fontId="22" fillId="4" borderId="1" xfId="0" applyNumberFormat="1" applyFont="1" applyFill="1" applyBorder="1" applyAlignment="1">
      <alignment horizontal="center"/>
    </xf>
    <xf numFmtId="1" fontId="23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" fontId="3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164" fontId="4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1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2" fillId="10" borderId="0" xfId="0" applyFont="1" applyFill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2">
    <dxf>
      <font>
        <b/>
        <sz val="10"/>
        <color rgb="FF1E40AF"/>
        <name val="Segoe UI"/>
      </font>
      <fill>
        <patternFill patternType="solid">
          <fgColor rgb="FFDBEAFE"/>
          <bgColor rgb="FFDBEAFE"/>
        </patternFill>
      </fill>
    </dxf>
    <dxf>
      <font>
        <b/>
        <sz val="10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10"/>
        <color rgb="FF6B21A8"/>
        <name val="Segoe UI"/>
      </font>
      <fill>
        <patternFill patternType="solid">
          <fgColor rgb="FFF3E8FF"/>
          <bgColor rgb="FFF3E8FF"/>
        </patternFill>
      </fill>
    </dxf>
    <dxf>
      <font>
        <b/>
        <sz val="10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10"/>
        <color rgb="FF9A3412"/>
        <name val="Segoe UI"/>
      </font>
      <fill>
        <patternFill patternType="solid">
          <fgColor rgb="FFFFEDD5"/>
          <bgColor rgb="FFFFEDD5"/>
        </patternFill>
      </fill>
    </dxf>
    <dxf>
      <font>
        <b/>
        <sz val="10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10"/>
        <color rgb="FF065F46"/>
        <name val="Segoe UI"/>
      </font>
      <fill>
        <patternFill patternType="solid">
          <fgColor rgb="FFD1FAE5"/>
          <bgColor rgb="FFD1FAE5"/>
        </patternFill>
      </fill>
    </dxf>
    <dxf>
      <font>
        <b/>
        <sz val="10"/>
        <color rgb="FF9A3412"/>
        <name val="Segoe UI"/>
      </font>
      <fill>
        <patternFill patternType="solid">
          <fgColor rgb="FFFFEDD5"/>
          <bgColor rgb="FFFFEDD5"/>
        </patternFill>
      </fill>
    </dxf>
    <dxf>
      <font>
        <b/>
        <sz val="10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10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10"/>
        <color rgb="FF9A3412"/>
        <name val="Segoe UI"/>
      </font>
      <fill>
        <patternFill patternType="solid">
          <fgColor rgb="FFFFEDD5"/>
          <bgColor rgb="FFFFEDD5"/>
        </patternFill>
      </fill>
    </dxf>
    <dxf>
      <font>
        <b/>
        <sz val="10"/>
        <color rgb="FF92400E"/>
        <name val="Segoe UI"/>
      </font>
      <fill>
        <patternFill patternType="solid">
          <fgColor rgb="FFFEF3C7"/>
          <bgColor rgb="FFFEF3C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Attendance Status Distribution (</a:t>
            </a:r>
            <a:r>
              <a:rPr lang="km-KH"/>
              <a:t>ភាគរយវត្តមាន)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Attendance_Report!$O$8</c:f>
              <c:strCache>
                <c:ptCount val="1"/>
                <c:pt idx="0">
                  <c:v>Record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Attendance_Report!$N$9:$N$13</c:f>
              <c:strCache>
                <c:ptCount val="5"/>
                <c:pt idx="0">
                  <c:v>On Time (ទាន់ពេល)</c:v>
                </c:pt>
                <c:pt idx="1">
                  <c:v>Late (មកយឺត)</c:v>
                </c:pt>
                <c:pt idx="2">
                  <c:v>Early Leave (ចេញមុន)</c:v>
                </c:pt>
                <c:pt idx="3">
                  <c:v>Leave (ច្បាប់)</c:v>
                </c:pt>
                <c:pt idx="4">
                  <c:v>Absent (អវត្តមាន)</c:v>
                </c:pt>
              </c:strCache>
            </c:strRef>
          </c:cat>
          <c:val>
            <c:numRef>
              <c:f>Attendance_Report!$O$9:$O$13</c:f>
              <c:numCache>
                <c:formatCode>General</c:formatCode>
                <c:ptCount val="5"/>
                <c:pt idx="0">
                  <c:v>18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7-465D-9DB7-FBE27766F58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Late Minutes by Employee (</a:t>
            </a:r>
            <a:r>
              <a:rPr lang="km-KH"/>
              <a:t>នាទីមកយឺតតាមបុគ្គលិក)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Attendance_Report!$I$25</c:f>
              <c:strCache>
                <c:ptCount val="1"/>
                <c:pt idx="0">
                  <c:v>Total Late Mins (សរុបនាទីយឺត)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Attendance_Report!$B$26:$B$35</c:f>
              <c:strCache>
                <c:ptCount val="10"/>
                <c:pt idx="0">
                  <c:v>Khoem Piseth</c:v>
                </c:pt>
                <c:pt idx="1">
                  <c:v>Keo Sophea</c:v>
                </c:pt>
                <c:pt idx="2">
                  <c:v>Chan Dara</c:v>
                </c:pt>
                <c:pt idx="3">
                  <c:v>Sok Chenda</c:v>
                </c:pt>
                <c:pt idx="4">
                  <c:v>Meng Chhay</c:v>
                </c:pt>
                <c:pt idx="5">
                  <c:v>Vannak Bopha</c:v>
                </c:pt>
                <c:pt idx="6">
                  <c:v>Rithy Visal</c:v>
                </c:pt>
                <c:pt idx="7">
                  <c:v>Chhorn Sreyneang</c:v>
                </c:pt>
                <c:pt idx="8">
                  <c:v>Long Kosal</c:v>
                </c:pt>
                <c:pt idx="9">
                  <c:v>Tep Nimol</c:v>
                </c:pt>
              </c:strCache>
            </c:strRef>
          </c:cat>
          <c:val>
            <c:numRef>
              <c:f>Attendance_Report!$I$26:$I$35</c:f>
              <c:numCache>
                <c:formatCode>0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25</c:v>
                </c:pt>
                <c:pt idx="3">
                  <c:v>0</c:v>
                </c:pt>
                <c:pt idx="4">
                  <c:v>25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D-4069-B6DB-972E7116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 (</a:t>
                </a:r>
                <a:r>
                  <a:rPr lang="km-KH"/>
                  <a:t>បុគ្គលិក)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Late Minutes (</a:t>
                </a:r>
                <a:r>
                  <a:rPr lang="km-KH"/>
                  <a:t>នាទី)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</xdr:rowOff>
    </xdr:from>
    <xdr:ext cx="5433060" cy="30022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0</xdr:rowOff>
    </xdr:from>
    <xdr:ext cx="5760000" cy="331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opLeftCell="J59" workbookViewId="0">
      <selection activeCell="I48" sqref="I48"/>
    </sheetView>
  </sheetViews>
  <sheetFormatPr defaultRowHeight="14.4" x14ac:dyDescent="0.3"/>
  <cols>
    <col min="1" max="1" width="13" customWidth="1"/>
    <col min="2" max="2" width="22" customWidth="1"/>
    <col min="3" max="3" width="20" customWidth="1"/>
    <col min="4" max="4" width="25" customWidth="1"/>
    <col min="5" max="5" width="15" customWidth="1"/>
    <col min="6" max="9" width="16" customWidth="1"/>
    <col min="10" max="10" width="15" customWidth="1"/>
    <col min="11" max="11" width="16" customWidth="1"/>
    <col min="12" max="12" width="26" customWidth="1"/>
    <col min="13" max="13" width="15" customWidth="1"/>
    <col min="14" max="16" width="16" customWidth="1"/>
  </cols>
  <sheetData>
    <row r="1" spans="1:16" ht="42" customHeight="1" x14ac:dyDescent="0.3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22.05" customHeight="1" x14ac:dyDescent="0.3">
      <c r="A2" s="76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4" spans="1:16" ht="18" customHeight="1" x14ac:dyDescent="0.3">
      <c r="A4" s="69" t="s">
        <v>2</v>
      </c>
      <c r="B4" s="68"/>
      <c r="C4" s="68"/>
      <c r="D4" s="69" t="s">
        <v>3</v>
      </c>
      <c r="E4" s="68"/>
      <c r="F4" s="68"/>
      <c r="G4" s="69" t="s">
        <v>4</v>
      </c>
      <c r="H4" s="68"/>
      <c r="I4" s="68"/>
      <c r="J4" s="69" t="s">
        <v>5</v>
      </c>
      <c r="K4" s="68"/>
      <c r="L4" s="68"/>
      <c r="M4" s="69" t="s">
        <v>6</v>
      </c>
      <c r="N4" s="68"/>
      <c r="O4" s="68"/>
      <c r="P4" s="68"/>
    </row>
    <row r="5" spans="1:16" ht="18" customHeight="1" x14ac:dyDescent="0.3">
      <c r="A5" s="72">
        <f>COUNTA(Employees!A4:A50)</f>
        <v>10</v>
      </c>
      <c r="B5" s="68"/>
      <c r="C5" s="68"/>
      <c r="D5" s="73">
        <f>COUNTA(Attendance_Daily!A4:A33)</f>
        <v>30</v>
      </c>
      <c r="E5" s="68"/>
      <c r="F5" s="68"/>
      <c r="G5" s="74">
        <f>COUNTIF(Attendance_Daily!U4:U33, "On Time")</f>
        <v>18</v>
      </c>
      <c r="H5" s="68"/>
      <c r="I5" s="68"/>
      <c r="J5" s="75">
        <f>COUNTIF(Attendance_Daily!S4:S33, "&gt;0")</f>
        <v>5</v>
      </c>
      <c r="K5" s="68"/>
      <c r="L5" s="68"/>
      <c r="M5" s="67">
        <f>COUNTIF(Attendance_Daily!U4:U33, "*Absent*") + COUNTIF(Attendance_Daily!T4:T33, "&gt;0")</f>
        <v>4</v>
      </c>
      <c r="N5" s="68"/>
      <c r="O5" s="68"/>
      <c r="P5" s="68"/>
    </row>
    <row r="6" spans="1:16" ht="18" customHeight="1" x14ac:dyDescent="0.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</row>
    <row r="8" spans="1:16" ht="15" x14ac:dyDescent="0.35">
      <c r="N8" s="1" t="s">
        <v>7</v>
      </c>
      <c r="O8" s="1" t="s">
        <v>8</v>
      </c>
    </row>
    <row r="9" spans="1:16" ht="15" x14ac:dyDescent="0.35">
      <c r="N9" s="2" t="s">
        <v>9</v>
      </c>
      <c r="O9" s="3">
        <f>COUNTIF(Attendance_Daily!$U$4:$U$33, "On Time")</f>
        <v>18</v>
      </c>
    </row>
    <row r="10" spans="1:16" ht="15" x14ac:dyDescent="0.35">
      <c r="N10" s="4" t="s">
        <v>10</v>
      </c>
      <c r="O10" s="5">
        <f>COUNTIF(Attendance_Daily!$S$4:$S$33, "&gt;0")</f>
        <v>5</v>
      </c>
    </row>
    <row r="11" spans="1:16" ht="15" x14ac:dyDescent="0.35">
      <c r="N11" s="2" t="s">
        <v>11</v>
      </c>
      <c r="O11" s="3">
        <f>COUNTIF(Attendance_Daily!$T$4:$T$33, "&gt;0")</f>
        <v>3</v>
      </c>
    </row>
    <row r="12" spans="1:16" ht="15" x14ac:dyDescent="0.35">
      <c r="N12" s="4" t="s">
        <v>12</v>
      </c>
      <c r="O12" s="5">
        <f>COUNTIF(Attendance_Daily!$U$4:$U$33, "*Leave*")</f>
        <v>6</v>
      </c>
    </row>
    <row r="13" spans="1:16" ht="15" x14ac:dyDescent="0.35">
      <c r="N13" s="2" t="s">
        <v>13</v>
      </c>
      <c r="O13" s="3">
        <f>COUNTIF(Attendance_Daily!$U$4:$U$33, "Absent")</f>
        <v>1</v>
      </c>
    </row>
    <row r="24" spans="1:12" ht="25.95" customHeight="1" x14ac:dyDescent="0.45">
      <c r="A24" s="6" t="s">
        <v>14</v>
      </c>
    </row>
    <row r="25" spans="1:12" ht="30" customHeight="1" x14ac:dyDescent="0.3">
      <c r="A25" s="7" t="s">
        <v>15</v>
      </c>
      <c r="B25" s="7" t="s">
        <v>16</v>
      </c>
      <c r="C25" s="7" t="s">
        <v>17</v>
      </c>
      <c r="D25" s="7" t="s">
        <v>18</v>
      </c>
      <c r="E25" s="7" t="s">
        <v>19</v>
      </c>
      <c r="F25" s="7" t="s">
        <v>20</v>
      </c>
      <c r="G25" s="7" t="s">
        <v>21</v>
      </c>
      <c r="H25" s="7" t="s">
        <v>22</v>
      </c>
      <c r="I25" s="7" t="s">
        <v>23</v>
      </c>
      <c r="J25" s="7" t="s">
        <v>24</v>
      </c>
      <c r="K25" s="7" t="s">
        <v>25</v>
      </c>
      <c r="L25" s="7" t="s">
        <v>26</v>
      </c>
    </row>
    <row r="26" spans="1:12" ht="22.05" customHeight="1" x14ac:dyDescent="0.35">
      <c r="A26" s="5" t="str">
        <f>Employees!A4</f>
        <v>EMP-001</v>
      </c>
      <c r="B26" s="8" t="str">
        <f>Employees!B4</f>
        <v>Khoem Piseth</v>
      </c>
      <c r="C26" s="4" t="str">
        <f>Employees!C4</f>
        <v>ខឹម ពិសិដ្ឋ</v>
      </c>
      <c r="D26" s="4" t="str">
        <f>Employees!E4</f>
        <v>Information Technology</v>
      </c>
      <c r="E26" s="9">
        <f>Settings!$B$11</f>
        <v>26</v>
      </c>
      <c r="F26" s="10">
        <f>COUNTIFS(Attendance_Daily!$D$4:$D$33, A26, Attendance_Daily!$S$4:$S$33, "&gt;0")</f>
        <v>0</v>
      </c>
      <c r="G26" s="11">
        <f>SUMIFS(Attendance_Daily!$O$4:$O$33, Attendance_Daily!$D$4:$D$33, A26)</f>
        <v>0</v>
      </c>
      <c r="H26" s="11">
        <f>SUMIFS(Attendance_Daily!$Q$4:$Q$33, Attendance_Daily!$D$4:$D$33, A26)</f>
        <v>0</v>
      </c>
      <c r="I26" s="12">
        <f>SUMIFS(Attendance_Daily!$S$4:$S$33, Attendance_Daily!$D$4:$D$33, A26)</f>
        <v>0</v>
      </c>
      <c r="J26" s="13">
        <f t="shared" ref="J26:J35" si="0">IF(F26&gt;0, ROUND(I26/F26, 1), 0)</f>
        <v>0</v>
      </c>
      <c r="K26" s="11">
        <f>COUNTIFS(Attendance_Daily!$D$4:$D$33, A26, Attendance_Daily!$S$4:$S$33, "&gt;15")</f>
        <v>0</v>
      </c>
      <c r="L26" s="5" t="str">
        <f t="shared" ref="L26:L35" si="1">IF(I26=0, "Punctual / ទៀងទាត់",IF(F26&lt;=1, "Acceptable / អនុគ្រោះ",IF(F26&lt;=2, "Verbal Warning / ព្រមានផ្ទាល់មាត់","Formal Warning / ព្រមានជាលាយលក្ខណ៍អក្សរ")))</f>
        <v>Punctual / ទៀងទាត់</v>
      </c>
    </row>
    <row r="27" spans="1:12" ht="22.05" customHeight="1" x14ac:dyDescent="0.35">
      <c r="A27" s="3" t="str">
        <f>Employees!A5</f>
        <v>EMP-002</v>
      </c>
      <c r="B27" s="14" t="str">
        <f>Employees!B5</f>
        <v>Keo Sophea</v>
      </c>
      <c r="C27" s="2" t="str">
        <f>Employees!C5</f>
        <v>កែវ សុភា</v>
      </c>
      <c r="D27" s="2" t="str">
        <f>Employees!E5</f>
        <v>Human Resources</v>
      </c>
      <c r="E27" s="15">
        <f>Settings!$B$11</f>
        <v>26</v>
      </c>
      <c r="F27" s="16">
        <f>COUNTIFS(Attendance_Daily!$D$4:$D$33, A27, Attendance_Daily!$S$4:$S$33, "&gt;0")</f>
        <v>1</v>
      </c>
      <c r="G27" s="17">
        <f>SUMIFS(Attendance_Daily!$O$4:$O$33, Attendance_Daily!$D$4:$D$33, A27)</f>
        <v>30</v>
      </c>
      <c r="H27" s="17">
        <f>SUMIFS(Attendance_Daily!$Q$4:$Q$33, Attendance_Daily!$D$4:$D$33, A27)</f>
        <v>0</v>
      </c>
      <c r="I27" s="18">
        <f>SUMIFS(Attendance_Daily!$S$4:$S$33, Attendance_Daily!$D$4:$D$33, A27)</f>
        <v>30</v>
      </c>
      <c r="J27" s="19">
        <f t="shared" si="0"/>
        <v>30</v>
      </c>
      <c r="K27" s="17">
        <f>COUNTIFS(Attendance_Daily!$D$4:$D$33, A27, Attendance_Daily!$S$4:$S$33, "&gt;15")</f>
        <v>1</v>
      </c>
      <c r="L27" s="3" t="str">
        <f t="shared" si="1"/>
        <v>Acceptable / អនុគ្រោះ</v>
      </c>
    </row>
    <row r="28" spans="1:12" ht="22.05" customHeight="1" x14ac:dyDescent="0.35">
      <c r="A28" s="5" t="str">
        <f>Employees!A6</f>
        <v>EMP-003</v>
      </c>
      <c r="B28" s="8" t="str">
        <f>Employees!B6</f>
        <v>Chan Dara</v>
      </c>
      <c r="C28" s="4" t="str">
        <f>Employees!C6</f>
        <v>ចាន់ ដារ៉ា</v>
      </c>
      <c r="D28" s="4" t="str">
        <f>Employees!E6</f>
        <v>Information Technology</v>
      </c>
      <c r="E28" s="9">
        <f>Settings!$B$11</f>
        <v>26</v>
      </c>
      <c r="F28" s="10">
        <f>COUNTIFS(Attendance_Daily!$D$4:$D$33, A28, Attendance_Daily!$S$4:$S$33, "&gt;0")</f>
        <v>1</v>
      </c>
      <c r="G28" s="11">
        <f>SUMIFS(Attendance_Daily!$O$4:$O$33, Attendance_Daily!$D$4:$D$33, A28)</f>
        <v>25</v>
      </c>
      <c r="H28" s="11">
        <f>SUMIFS(Attendance_Daily!$Q$4:$Q$33, Attendance_Daily!$D$4:$D$33, A28)</f>
        <v>0</v>
      </c>
      <c r="I28" s="12">
        <f>SUMIFS(Attendance_Daily!$S$4:$S$33, Attendance_Daily!$D$4:$D$33, A28)</f>
        <v>25</v>
      </c>
      <c r="J28" s="13">
        <f t="shared" si="0"/>
        <v>25</v>
      </c>
      <c r="K28" s="11">
        <f>COUNTIFS(Attendance_Daily!$D$4:$D$33, A28, Attendance_Daily!$S$4:$S$33, "&gt;15")</f>
        <v>1</v>
      </c>
      <c r="L28" s="5" t="str">
        <f t="shared" si="1"/>
        <v>Acceptable / អនុគ្រោះ</v>
      </c>
    </row>
    <row r="29" spans="1:12" ht="22.05" customHeight="1" x14ac:dyDescent="0.35">
      <c r="A29" s="3" t="str">
        <f>Employees!A7</f>
        <v>EMP-004</v>
      </c>
      <c r="B29" s="14" t="str">
        <f>Employees!B7</f>
        <v>Sok Chenda</v>
      </c>
      <c r="C29" s="2" t="str">
        <f>Employees!C7</f>
        <v>សុខ ចិន្តា</v>
      </c>
      <c r="D29" s="2" t="str">
        <f>Employees!E7</f>
        <v>Finance &amp; Accounting</v>
      </c>
      <c r="E29" s="15">
        <f>Settings!$B$11</f>
        <v>26</v>
      </c>
      <c r="F29" s="16">
        <f>COUNTIFS(Attendance_Daily!$D$4:$D$33, A29, Attendance_Daily!$S$4:$S$33, "&gt;0")</f>
        <v>1</v>
      </c>
      <c r="G29" s="17">
        <f>SUMIFS(Attendance_Daily!$O$4:$O$33, Attendance_Daily!$D$4:$D$33, A29)</f>
        <v>20</v>
      </c>
      <c r="H29" s="17">
        <f>SUMIFS(Attendance_Daily!$Q$4:$Q$33, Attendance_Daily!$D$4:$D$33, A29)</f>
        <v>0</v>
      </c>
      <c r="I29" s="18" t="e">
        <f>SUMIFS(Attendance_Daily!$S$4:$S$33, Attendance_Daily!$D$4:$D$33, A29)</f>
        <v>#VALUE!</v>
      </c>
      <c r="J29" s="19" t="e">
        <f t="shared" si="0"/>
        <v>#VALUE!</v>
      </c>
      <c r="K29" s="17">
        <f>COUNTIFS(Attendance_Daily!$D$4:$D$33, A29, Attendance_Daily!$S$4:$S$33, "&gt;15")</f>
        <v>1</v>
      </c>
      <c r="L29" s="3" t="e">
        <f t="shared" si="1"/>
        <v>#VALUE!</v>
      </c>
    </row>
    <row r="30" spans="1:12" ht="22.05" customHeight="1" x14ac:dyDescent="0.35">
      <c r="A30" s="5" t="str">
        <f>Employees!A8</f>
        <v>EMP-005</v>
      </c>
      <c r="B30" s="8" t="str">
        <f>Employees!B8</f>
        <v>Meng Chhay</v>
      </c>
      <c r="C30" s="4" t="str">
        <f>Employees!C8</f>
        <v>ម៉េង ឆាយ</v>
      </c>
      <c r="D30" s="4" t="str">
        <f>Employees!E8</f>
        <v>Marketing &amp; Operations</v>
      </c>
      <c r="E30" s="9">
        <f>Settings!$B$11</f>
        <v>26</v>
      </c>
      <c r="F30" s="10">
        <f>COUNTIFS(Attendance_Daily!$D$4:$D$33, A30, Attendance_Daily!$S$4:$S$33, "&gt;0")</f>
        <v>1</v>
      </c>
      <c r="G30" s="11">
        <f>SUMIFS(Attendance_Daily!$O$4:$O$33, Attendance_Daily!$D$4:$D$33, A30)</f>
        <v>0</v>
      </c>
      <c r="H30" s="11">
        <f>SUMIFS(Attendance_Daily!$Q$4:$Q$33, Attendance_Daily!$D$4:$D$33, A30)</f>
        <v>25</v>
      </c>
      <c r="I30" s="12">
        <f>SUMIFS(Attendance_Daily!$S$4:$S$33, Attendance_Daily!$D$4:$D$33, A30)</f>
        <v>25</v>
      </c>
      <c r="J30" s="13">
        <f t="shared" si="0"/>
        <v>25</v>
      </c>
      <c r="K30" s="11">
        <f>COUNTIFS(Attendance_Daily!$D$4:$D$33, A30, Attendance_Daily!$S$4:$S$33, "&gt;15")</f>
        <v>1</v>
      </c>
      <c r="L30" s="5" t="str">
        <f t="shared" si="1"/>
        <v>Acceptable / អនុគ្រោះ</v>
      </c>
    </row>
    <row r="31" spans="1:12" ht="22.05" customHeight="1" x14ac:dyDescent="0.35">
      <c r="A31" s="3" t="str">
        <f>Employees!A9</f>
        <v>EMP-006</v>
      </c>
      <c r="B31" s="14" t="str">
        <f>Employees!B9</f>
        <v>Vannak Bopha</v>
      </c>
      <c r="C31" s="2" t="str">
        <f>Employees!C9</f>
        <v>វណ្ណៈ បុប្ផា</v>
      </c>
      <c r="D31" s="2" t="str">
        <f>Employees!E9</f>
        <v>Human Resources</v>
      </c>
      <c r="E31" s="15">
        <f>Settings!$B$11</f>
        <v>26</v>
      </c>
      <c r="F31" s="16">
        <f>COUNTIFS(Attendance_Daily!$D$4:$D$33, A31, Attendance_Daily!$S$4:$S$33, "&gt;0")</f>
        <v>1</v>
      </c>
      <c r="G31" s="17">
        <f>SUMIFS(Attendance_Daily!$O$4:$O$33, Attendance_Daily!$D$4:$D$33, A31)</f>
        <v>20</v>
      </c>
      <c r="H31" s="17">
        <f>SUMIFS(Attendance_Daily!$Q$4:$Q$33, Attendance_Daily!$D$4:$D$33, A31)</f>
        <v>0</v>
      </c>
      <c r="I31" s="18">
        <f>SUMIFS(Attendance_Daily!$S$4:$S$33, Attendance_Daily!$D$4:$D$33, A31)</f>
        <v>20</v>
      </c>
      <c r="J31" s="19">
        <f t="shared" si="0"/>
        <v>20</v>
      </c>
      <c r="K31" s="17">
        <f>COUNTIFS(Attendance_Daily!$D$4:$D$33, A31, Attendance_Daily!$S$4:$S$33, "&gt;15")</f>
        <v>1</v>
      </c>
      <c r="L31" s="3" t="str">
        <f t="shared" si="1"/>
        <v>Acceptable / អនុគ្រោះ</v>
      </c>
    </row>
    <row r="32" spans="1:12" ht="22.05" customHeight="1" x14ac:dyDescent="0.35">
      <c r="A32" s="5" t="str">
        <f>Employees!A10</f>
        <v>EMP-007</v>
      </c>
      <c r="B32" s="8" t="str">
        <f>Employees!B10</f>
        <v>Rithy Visal</v>
      </c>
      <c r="C32" s="4" t="str">
        <f>Employees!C10</f>
        <v>រិទ្ធី វិសាល</v>
      </c>
      <c r="D32" s="4" t="str">
        <f>Employees!E10</f>
        <v>Information Technology</v>
      </c>
      <c r="E32" s="9">
        <f>Settings!$B$11</f>
        <v>26</v>
      </c>
      <c r="F32" s="10">
        <f>COUNTIFS(Attendance_Daily!$D$4:$D$33, A32, Attendance_Daily!$S$4:$S$33, "&gt;0")</f>
        <v>0</v>
      </c>
      <c r="G32" s="11">
        <f>SUMIFS(Attendance_Daily!$O$4:$O$33, Attendance_Daily!$D$4:$D$33, A32)</f>
        <v>0</v>
      </c>
      <c r="H32" s="11">
        <f>SUMIFS(Attendance_Daily!$Q$4:$Q$33, Attendance_Daily!$D$4:$D$33, A32)</f>
        <v>0</v>
      </c>
      <c r="I32" s="12" t="e">
        <f>SUMIFS(Attendance_Daily!$S$4:$S$33, Attendance_Daily!$D$4:$D$33, A32)</f>
        <v>#VALUE!</v>
      </c>
      <c r="J32" s="13">
        <f t="shared" si="0"/>
        <v>0</v>
      </c>
      <c r="K32" s="11">
        <f>COUNTIFS(Attendance_Daily!$D$4:$D$33, A32, Attendance_Daily!$S$4:$S$33, "&gt;15")</f>
        <v>0</v>
      </c>
      <c r="L32" s="5" t="e">
        <f t="shared" si="1"/>
        <v>#VALUE!</v>
      </c>
    </row>
    <row r="33" spans="1:15" ht="22.05" customHeight="1" x14ac:dyDescent="0.35">
      <c r="A33" s="3" t="str">
        <f>Employees!A11</f>
        <v>EMP-008</v>
      </c>
      <c r="B33" s="14" t="str">
        <f>Employees!B11</f>
        <v>Chhorn Sreyneang</v>
      </c>
      <c r="C33" s="2" t="str">
        <f>Employees!C11</f>
        <v>ឈន ស្រីនាង</v>
      </c>
      <c r="D33" s="2" t="str">
        <f>Employees!E11</f>
        <v>Finance &amp; Accounting</v>
      </c>
      <c r="E33" s="15">
        <f>Settings!$B$11</f>
        <v>26</v>
      </c>
      <c r="F33" s="16">
        <f>COUNTIFS(Attendance_Daily!$D$4:$D$33, A33, Attendance_Daily!$S$4:$S$33, "&gt;0")</f>
        <v>0</v>
      </c>
      <c r="G33" s="17">
        <f>SUMIFS(Attendance_Daily!$O$4:$O$33, Attendance_Daily!$D$4:$D$33, A33)</f>
        <v>0</v>
      </c>
      <c r="H33" s="17">
        <f>SUMIFS(Attendance_Daily!$Q$4:$Q$33, Attendance_Daily!$D$4:$D$33, A33)</f>
        <v>0</v>
      </c>
      <c r="I33" s="18" t="e">
        <f>SUMIFS(Attendance_Daily!$S$4:$S$33, Attendance_Daily!$D$4:$D$33, A33)</f>
        <v>#VALUE!</v>
      </c>
      <c r="J33" s="19">
        <f t="shared" si="0"/>
        <v>0</v>
      </c>
      <c r="K33" s="17">
        <f>COUNTIFS(Attendance_Daily!$D$4:$D$33, A33, Attendance_Daily!$S$4:$S$33, "&gt;15")</f>
        <v>0</v>
      </c>
      <c r="L33" s="3" t="e">
        <f t="shared" si="1"/>
        <v>#VALUE!</v>
      </c>
    </row>
    <row r="34" spans="1:15" ht="22.05" customHeight="1" x14ac:dyDescent="0.35">
      <c r="A34" s="5" t="str">
        <f>Employees!A12</f>
        <v>EMP-009</v>
      </c>
      <c r="B34" s="8" t="str">
        <f>Employees!B12</f>
        <v>Long Kosal</v>
      </c>
      <c r="C34" s="4" t="str">
        <f>Employees!C12</f>
        <v>ឡុង កុសល</v>
      </c>
      <c r="D34" s="4" t="str">
        <f>Employees!E12</f>
        <v>Information Technology</v>
      </c>
      <c r="E34" s="9">
        <f>Settings!$B$11</f>
        <v>26</v>
      </c>
      <c r="F34" s="10">
        <f>COUNTIFS(Attendance_Daily!$D$4:$D$33, A34, Attendance_Daily!$S$4:$S$33, "&gt;0")</f>
        <v>0</v>
      </c>
      <c r="G34" s="11">
        <f>SUMIFS(Attendance_Daily!$O$4:$O$33, Attendance_Daily!$D$4:$D$33, A34)</f>
        <v>0</v>
      </c>
      <c r="H34" s="11">
        <f>SUMIFS(Attendance_Daily!$Q$4:$Q$33, Attendance_Daily!$D$4:$D$33, A34)</f>
        <v>0</v>
      </c>
      <c r="I34" s="12" t="e">
        <f>SUMIFS(Attendance_Daily!$S$4:$S$33, Attendance_Daily!$D$4:$D$33, A34)</f>
        <v>#VALUE!</v>
      </c>
      <c r="J34" s="13">
        <f t="shared" si="0"/>
        <v>0</v>
      </c>
      <c r="K34" s="11">
        <f>COUNTIFS(Attendance_Daily!$D$4:$D$33, A34, Attendance_Daily!$S$4:$S$33, "&gt;15")</f>
        <v>0</v>
      </c>
      <c r="L34" s="5" t="e">
        <f t="shared" si="1"/>
        <v>#VALUE!</v>
      </c>
    </row>
    <row r="35" spans="1:15" ht="22.05" customHeight="1" x14ac:dyDescent="0.35">
      <c r="A35" s="3" t="str">
        <f>Employees!A13</f>
        <v>EMP-010</v>
      </c>
      <c r="B35" s="14" t="str">
        <f>Employees!B13</f>
        <v>Tep Nimol</v>
      </c>
      <c r="C35" s="2" t="str">
        <f>Employees!C13</f>
        <v>ទេព និមល</v>
      </c>
      <c r="D35" s="2" t="str">
        <f>Employees!E13</f>
        <v>Marketing &amp; Operations</v>
      </c>
      <c r="E35" s="15">
        <f>Settings!$B$11</f>
        <v>26</v>
      </c>
      <c r="F35" s="16">
        <f>COUNTIFS(Attendance_Daily!$D$4:$D$33, A35, Attendance_Daily!$S$4:$S$33, "&gt;0")</f>
        <v>0</v>
      </c>
      <c r="G35" s="17">
        <f>SUMIFS(Attendance_Daily!$O$4:$O$33, Attendance_Daily!$D$4:$D$33, A35)</f>
        <v>0</v>
      </c>
      <c r="H35" s="17">
        <f>SUMIFS(Attendance_Daily!$Q$4:$Q$33, Attendance_Daily!$D$4:$D$33, A35)</f>
        <v>0</v>
      </c>
      <c r="I35" s="18">
        <f>SUMIFS(Attendance_Daily!$S$4:$S$33, Attendance_Daily!$D$4:$D$33, A35)</f>
        <v>0</v>
      </c>
      <c r="J35" s="19">
        <f t="shared" si="0"/>
        <v>0</v>
      </c>
      <c r="K35" s="17">
        <f>COUNTIFS(Attendance_Daily!$D$4:$D$33, A35, Attendance_Daily!$S$4:$S$33, "&gt;15")</f>
        <v>0</v>
      </c>
      <c r="L35" s="3" t="str">
        <f t="shared" si="1"/>
        <v>Punctual / ទៀងទាត់</v>
      </c>
    </row>
    <row r="36" spans="1:15" ht="24" customHeight="1" x14ac:dyDescent="0.35">
      <c r="A36" s="20" t="s">
        <v>27</v>
      </c>
      <c r="B36" s="21"/>
      <c r="C36" s="21"/>
      <c r="D36" s="21"/>
      <c r="E36" s="21"/>
      <c r="F36" s="22">
        <f>SUM(F26:F35)</f>
        <v>5</v>
      </c>
      <c r="G36" s="22">
        <f>SUM(G26:G35)</f>
        <v>95</v>
      </c>
      <c r="H36" s="22">
        <f>SUM(H26:H35)</f>
        <v>25</v>
      </c>
      <c r="I36" s="22" t="e">
        <f>SUM(I26:I35)</f>
        <v>#VALUE!</v>
      </c>
      <c r="J36" s="21"/>
      <c r="K36" s="22">
        <f>SUM(K26:K35)</f>
        <v>5</v>
      </c>
      <c r="L36" s="21"/>
    </row>
    <row r="38" spans="1:15" ht="25.95" customHeight="1" x14ac:dyDescent="0.4">
      <c r="A38" s="23" t="s">
        <v>28</v>
      </c>
    </row>
    <row r="39" spans="1:15" ht="30" customHeight="1" x14ac:dyDescent="0.3">
      <c r="A39" s="24" t="s">
        <v>15</v>
      </c>
      <c r="B39" s="24" t="s">
        <v>16</v>
      </c>
      <c r="C39" s="24" t="s">
        <v>17</v>
      </c>
      <c r="D39" s="24" t="s">
        <v>18</v>
      </c>
      <c r="E39" s="24" t="s">
        <v>19</v>
      </c>
      <c r="F39" s="24" t="s">
        <v>29</v>
      </c>
      <c r="G39" s="24" t="s">
        <v>9</v>
      </c>
      <c r="H39" s="24" t="s">
        <v>20</v>
      </c>
      <c r="I39" s="24" t="s">
        <v>30</v>
      </c>
      <c r="J39" s="24" t="s">
        <v>31</v>
      </c>
      <c r="K39" s="24" t="s">
        <v>32</v>
      </c>
      <c r="L39" s="24" t="s">
        <v>33</v>
      </c>
      <c r="M39" s="24" t="s">
        <v>34</v>
      </c>
      <c r="N39" s="24" t="s">
        <v>35</v>
      </c>
      <c r="O39" s="24" t="s">
        <v>36</v>
      </c>
    </row>
    <row r="40" spans="1:15" ht="22.05" customHeight="1" x14ac:dyDescent="0.35">
      <c r="A40" s="5" t="str">
        <f>Employees!A4</f>
        <v>EMP-001</v>
      </c>
      <c r="B40" s="8" t="str">
        <f>Employees!B4</f>
        <v>Khoem Piseth</v>
      </c>
      <c r="C40" s="4" t="str">
        <f>Employees!C4</f>
        <v>ខឹម ពិសិដ្ឋ</v>
      </c>
      <c r="D40" s="4" t="str">
        <f>Employees!E4</f>
        <v>Information Technology</v>
      </c>
      <c r="E40" s="9">
        <f>Settings!$B$11</f>
        <v>26</v>
      </c>
      <c r="F40" s="25">
        <f>COUNTIFS(Attendance_Daily!$D$4:$D$33, A40, Attendance_Daily!$U$4:$U$33, "&lt;&gt;Absent", Attendance_Daily!$U$4:$U$33, "&lt;&gt;Leave")</f>
        <v>3</v>
      </c>
      <c r="G40" s="26">
        <f>COUNTIFS(Attendance_Daily!$D$4:$D$33, A40, Attendance_Daily!$U$4:$U$33, "On Time")</f>
        <v>3</v>
      </c>
      <c r="H40" s="27">
        <f>COUNTIFS(Attendance_Daily!$D$4:$D$33, A40, Attendance_Daily!$S$4:$S$33, "&gt;0")</f>
        <v>0</v>
      </c>
      <c r="I40" s="11">
        <f>SUMIFS(Attendance_Daily!$S$4:$S$33, Attendance_Daily!$D$4:$D$33, A40)</f>
        <v>0</v>
      </c>
      <c r="J40" s="28">
        <f>COUNTIFS(Attendance_Daily!$D$4:$D$33, A40, Attendance_Daily!$T$4:$T$33, "&gt;0")</f>
        <v>0</v>
      </c>
      <c r="K40" s="11">
        <f>SUMIFS(Attendance_Daily!$T$4:$T$33, Attendance_Daily!$D$4:$D$33, A40)</f>
        <v>0</v>
      </c>
      <c r="L40" s="29">
        <f>COUNTIFS(Attendance_Daily!$D$4:$D$33, A40, Attendance_Daily!$U$4:$U$33, "*Leave*")</f>
        <v>0</v>
      </c>
      <c r="M40" s="30">
        <f>COUNTIFS(Attendance_Daily!$D$4:$D$33, A40, Attendance_Daily!$U$4:$U$33, "Absent")</f>
        <v>0</v>
      </c>
      <c r="N40" s="31">
        <f>SUMIFS(Attendance_Daily!$N$4:$N$33, Attendance_Daily!$D$4:$D$33, A40)</f>
        <v>25.19</v>
      </c>
      <c r="O40" s="32">
        <f>SUMIFS(Attendance_Daily!$V$4:$V$33, Attendance_Daily!$D$4:$D$33, A40)</f>
        <v>0</v>
      </c>
    </row>
    <row r="41" spans="1:15" ht="22.05" customHeight="1" x14ac:dyDescent="0.35">
      <c r="A41" s="3" t="str">
        <f>Employees!A5</f>
        <v>EMP-002</v>
      </c>
      <c r="B41" s="14" t="str">
        <f>Employees!B5</f>
        <v>Keo Sophea</v>
      </c>
      <c r="C41" s="2" t="str">
        <f>Employees!C5</f>
        <v>កែវ សុភា</v>
      </c>
      <c r="D41" s="2" t="str">
        <f>Employees!E5</f>
        <v>Human Resources</v>
      </c>
      <c r="E41" s="15">
        <f>Settings!$B$11</f>
        <v>26</v>
      </c>
      <c r="F41" s="33">
        <f>COUNTIFS(Attendance_Daily!$D$4:$D$33, A41, Attendance_Daily!$U$4:$U$33, "&lt;&gt;Absent", Attendance_Daily!$U$4:$U$33, "&lt;&gt;Leave")</f>
        <v>3</v>
      </c>
      <c r="G41" s="34">
        <f>COUNTIFS(Attendance_Daily!$D$4:$D$33, A41, Attendance_Daily!$U$4:$U$33, "On Time")</f>
        <v>2</v>
      </c>
      <c r="H41" s="35">
        <f>COUNTIFS(Attendance_Daily!$D$4:$D$33, A41, Attendance_Daily!$S$4:$S$33, "&gt;0")</f>
        <v>1</v>
      </c>
      <c r="I41" s="17">
        <f>SUMIFS(Attendance_Daily!$S$4:$S$33, Attendance_Daily!$D$4:$D$33, A41)</f>
        <v>30</v>
      </c>
      <c r="J41" s="36">
        <f>COUNTIFS(Attendance_Daily!$D$4:$D$33, A41, Attendance_Daily!$T$4:$T$33, "&gt;0")</f>
        <v>0</v>
      </c>
      <c r="K41" s="17">
        <f>SUMIFS(Attendance_Daily!$T$4:$T$33, Attendance_Daily!$D$4:$D$33, A41)</f>
        <v>0</v>
      </c>
      <c r="L41" s="37">
        <f>COUNTIFS(Attendance_Daily!$D$4:$D$33, A41, Attendance_Daily!$U$4:$U$33, "*Leave*")</f>
        <v>0</v>
      </c>
      <c r="M41" s="38">
        <f>COUNTIFS(Attendance_Daily!$D$4:$D$33, A41, Attendance_Daily!$U$4:$U$33, "Absent")</f>
        <v>0</v>
      </c>
      <c r="N41" s="39">
        <f>SUMIFS(Attendance_Daily!$N$4:$N$33, Attendance_Daily!$D$4:$D$33, A41)</f>
        <v>23.76</v>
      </c>
      <c r="O41" s="40">
        <f>SUMIFS(Attendance_Daily!$V$4:$V$33, Attendance_Daily!$D$4:$D$33, A41)</f>
        <v>0</v>
      </c>
    </row>
    <row r="42" spans="1:15" ht="22.05" customHeight="1" x14ac:dyDescent="0.35">
      <c r="A42" s="5" t="str">
        <f>Employees!A6</f>
        <v>EMP-003</v>
      </c>
      <c r="B42" s="8" t="str">
        <f>Employees!B6</f>
        <v>Chan Dara</v>
      </c>
      <c r="C42" s="4" t="str">
        <f>Employees!C6</f>
        <v>ចាន់ ដារ៉ា</v>
      </c>
      <c r="D42" s="4" t="str">
        <f>Employees!E6</f>
        <v>Information Technology</v>
      </c>
      <c r="E42" s="9">
        <f>Settings!$B$11</f>
        <v>26</v>
      </c>
      <c r="F42" s="25">
        <f>COUNTIFS(Attendance_Daily!$D$4:$D$33, A42, Attendance_Daily!$U$4:$U$33, "&lt;&gt;Absent", Attendance_Daily!$U$4:$U$33, "&lt;&gt;Leave")</f>
        <v>3</v>
      </c>
      <c r="G42" s="26">
        <f>COUNTIFS(Attendance_Daily!$D$4:$D$33, A42, Attendance_Daily!$U$4:$U$33, "On Time")</f>
        <v>2</v>
      </c>
      <c r="H42" s="27">
        <f>COUNTIFS(Attendance_Daily!$D$4:$D$33, A42, Attendance_Daily!$S$4:$S$33, "&gt;0")</f>
        <v>1</v>
      </c>
      <c r="I42" s="11">
        <f>SUMIFS(Attendance_Daily!$S$4:$S$33, Attendance_Daily!$D$4:$D$33, A42)</f>
        <v>25</v>
      </c>
      <c r="J42" s="28">
        <f>COUNTIFS(Attendance_Daily!$D$4:$D$33, A42, Attendance_Daily!$T$4:$T$33, "&gt;0")</f>
        <v>0</v>
      </c>
      <c r="K42" s="11">
        <f>SUMIFS(Attendance_Daily!$T$4:$T$33, Attendance_Daily!$D$4:$D$33, A42)</f>
        <v>0</v>
      </c>
      <c r="L42" s="29">
        <f>COUNTIFS(Attendance_Daily!$D$4:$D$33, A42, Attendance_Daily!$U$4:$U$33, "*Leave*")</f>
        <v>0</v>
      </c>
      <c r="M42" s="30">
        <f>COUNTIFS(Attendance_Daily!$D$4:$D$33, A42, Attendance_Daily!$U$4:$U$33, "Absent")</f>
        <v>0</v>
      </c>
      <c r="N42" s="31">
        <f>SUMIFS(Attendance_Daily!$N$4:$N$33, Attendance_Daily!$D$4:$D$33, A42)</f>
        <v>25.009999999999998</v>
      </c>
      <c r="O42" s="32">
        <f>SUMIFS(Attendance_Daily!$V$4:$V$33, Attendance_Daily!$D$4:$D$33, A42)</f>
        <v>0.5</v>
      </c>
    </row>
    <row r="43" spans="1:15" ht="22.05" customHeight="1" x14ac:dyDescent="0.35">
      <c r="A43" s="3" t="str">
        <f>Employees!A7</f>
        <v>EMP-004</v>
      </c>
      <c r="B43" s="14" t="str">
        <f>Employees!B7</f>
        <v>Sok Chenda</v>
      </c>
      <c r="C43" s="2" t="str">
        <f>Employees!C7</f>
        <v>សុខ ចិន្តា</v>
      </c>
      <c r="D43" s="2" t="str">
        <f>Employees!E7</f>
        <v>Finance &amp; Accounting</v>
      </c>
      <c r="E43" s="15">
        <f>Settings!$B$11</f>
        <v>26</v>
      </c>
      <c r="F43" s="33">
        <f>COUNTIFS(Attendance_Daily!$D$4:$D$33, A43, Attendance_Daily!$U$4:$U$33, "&lt;&gt;Absent", Attendance_Daily!$U$4:$U$33, "&lt;&gt;Leave")</f>
        <v>2</v>
      </c>
      <c r="G43" s="34">
        <f>COUNTIFS(Attendance_Daily!$D$4:$D$33, A43, Attendance_Daily!$U$4:$U$33, "On Time")</f>
        <v>0</v>
      </c>
      <c r="H43" s="35">
        <f>COUNTIFS(Attendance_Daily!$D$4:$D$33, A43, Attendance_Daily!$S$4:$S$33, "&gt;0")</f>
        <v>1</v>
      </c>
      <c r="I43" s="17" t="e">
        <f>SUMIFS(Attendance_Daily!$S$4:$S$33, Attendance_Daily!$D$4:$D$33, A43)</f>
        <v>#VALUE!</v>
      </c>
      <c r="J43" s="36">
        <f>COUNTIFS(Attendance_Daily!$D$4:$D$33, A43, Attendance_Daily!$T$4:$T$33, "&gt;0")</f>
        <v>1</v>
      </c>
      <c r="K43" s="17" t="e">
        <f>SUMIFS(Attendance_Daily!$T$4:$T$33, Attendance_Daily!$D$4:$D$33, A43)</f>
        <v>#VALUE!</v>
      </c>
      <c r="L43" s="37">
        <f>COUNTIFS(Attendance_Daily!$D$4:$D$33, A43, Attendance_Daily!$U$4:$U$33, "*Leave*")</f>
        <v>2</v>
      </c>
      <c r="M43" s="38">
        <f>COUNTIFS(Attendance_Daily!$D$4:$D$33, A43, Attendance_Daily!$U$4:$U$33, "Absent")</f>
        <v>0</v>
      </c>
      <c r="N43" s="39">
        <f>SUMIFS(Attendance_Daily!$N$4:$N$33, Attendance_Daily!$D$4:$D$33, A43)</f>
        <v>15.58</v>
      </c>
      <c r="O43" s="40">
        <f>SUMIFS(Attendance_Daily!$V$4:$V$33, Attendance_Daily!$D$4:$D$33, A43)</f>
        <v>0</v>
      </c>
    </row>
    <row r="44" spans="1:15" ht="22.05" customHeight="1" x14ac:dyDescent="0.35">
      <c r="A44" s="5" t="str">
        <f>Employees!A8</f>
        <v>EMP-005</v>
      </c>
      <c r="B44" s="8" t="str">
        <f>Employees!B8</f>
        <v>Meng Chhay</v>
      </c>
      <c r="C44" s="4" t="str">
        <f>Employees!C8</f>
        <v>ម៉េង ឆាយ</v>
      </c>
      <c r="D44" s="4" t="str">
        <f>Employees!E8</f>
        <v>Marketing &amp; Operations</v>
      </c>
      <c r="E44" s="9">
        <f>Settings!$B$11</f>
        <v>26</v>
      </c>
      <c r="F44" s="25">
        <f>COUNTIFS(Attendance_Daily!$D$4:$D$33, A44, Attendance_Daily!$U$4:$U$33, "&lt;&gt;Absent", Attendance_Daily!$U$4:$U$33, "&lt;&gt;Leave")</f>
        <v>3</v>
      </c>
      <c r="G44" s="26">
        <f>COUNTIFS(Attendance_Daily!$D$4:$D$33, A44, Attendance_Daily!$U$4:$U$33, "On Time")</f>
        <v>1</v>
      </c>
      <c r="H44" s="27">
        <f>COUNTIFS(Attendance_Daily!$D$4:$D$33, A44, Attendance_Daily!$S$4:$S$33, "&gt;0")</f>
        <v>1</v>
      </c>
      <c r="I44" s="11">
        <f>SUMIFS(Attendance_Daily!$S$4:$S$33, Attendance_Daily!$D$4:$D$33, A44)</f>
        <v>25</v>
      </c>
      <c r="J44" s="28">
        <f>COUNTIFS(Attendance_Daily!$D$4:$D$33, A44, Attendance_Daily!$T$4:$T$33, "&gt;0")</f>
        <v>1</v>
      </c>
      <c r="K44" s="11">
        <f>SUMIFS(Attendance_Daily!$T$4:$T$33, Attendance_Daily!$D$4:$D$33, A44)</f>
        <v>30</v>
      </c>
      <c r="L44" s="29">
        <f>COUNTIFS(Attendance_Daily!$D$4:$D$33, A44, Attendance_Daily!$U$4:$U$33, "*Leave*")</f>
        <v>1</v>
      </c>
      <c r="M44" s="30">
        <f>COUNTIFS(Attendance_Daily!$D$4:$D$33, A44, Attendance_Daily!$U$4:$U$33, "Absent")</f>
        <v>0</v>
      </c>
      <c r="N44" s="31">
        <f>SUMIFS(Attendance_Daily!$N$4:$N$33, Attendance_Daily!$D$4:$D$33, A44)</f>
        <v>23.25</v>
      </c>
      <c r="O44" s="32">
        <f>SUMIFS(Attendance_Daily!$V$4:$V$33, Attendance_Daily!$D$4:$D$33, A44)</f>
        <v>0</v>
      </c>
    </row>
    <row r="45" spans="1:15" ht="22.05" customHeight="1" x14ac:dyDescent="0.35">
      <c r="A45" s="3" t="str">
        <f>Employees!A9</f>
        <v>EMP-006</v>
      </c>
      <c r="B45" s="14" t="str">
        <f>Employees!B9</f>
        <v>Vannak Bopha</v>
      </c>
      <c r="C45" s="2" t="str">
        <f>Employees!C9</f>
        <v>វណ្ណៈ បុប្ផា</v>
      </c>
      <c r="D45" s="2" t="str">
        <f>Employees!E9</f>
        <v>Human Resources</v>
      </c>
      <c r="E45" s="15">
        <f>Settings!$B$11</f>
        <v>26</v>
      </c>
      <c r="F45" s="33">
        <f>COUNTIFS(Attendance_Daily!$D$4:$D$33, A45, Attendance_Daily!$U$4:$U$33, "&lt;&gt;Absent", Attendance_Daily!$U$4:$U$33, "&lt;&gt;Leave")</f>
        <v>3</v>
      </c>
      <c r="G45" s="34">
        <f>COUNTIFS(Attendance_Daily!$D$4:$D$33, A45, Attendance_Daily!$U$4:$U$33, "On Time")</f>
        <v>2</v>
      </c>
      <c r="H45" s="35">
        <f>COUNTIFS(Attendance_Daily!$D$4:$D$33, A45, Attendance_Daily!$S$4:$S$33, "&gt;0")</f>
        <v>1</v>
      </c>
      <c r="I45" s="17">
        <f>SUMIFS(Attendance_Daily!$S$4:$S$33, Attendance_Daily!$D$4:$D$33, A45)</f>
        <v>20</v>
      </c>
      <c r="J45" s="36">
        <f>COUNTIFS(Attendance_Daily!$D$4:$D$33, A45, Attendance_Daily!$T$4:$T$33, "&gt;0")</f>
        <v>1</v>
      </c>
      <c r="K45" s="17">
        <f>SUMIFS(Attendance_Daily!$T$4:$T$33, Attendance_Daily!$D$4:$D$33, A45)</f>
        <v>15</v>
      </c>
      <c r="L45" s="37">
        <f>COUNTIFS(Attendance_Daily!$D$4:$D$33, A45, Attendance_Daily!$U$4:$U$33, "*Leave*")</f>
        <v>1</v>
      </c>
      <c r="M45" s="38">
        <f>COUNTIFS(Attendance_Daily!$D$4:$D$33, A45, Attendance_Daily!$U$4:$U$33, "Absent")</f>
        <v>0</v>
      </c>
      <c r="N45" s="39">
        <f>SUMIFS(Attendance_Daily!$N$4:$N$33, Attendance_Daily!$D$4:$D$33, A45)</f>
        <v>23.48</v>
      </c>
      <c r="O45" s="40">
        <f>SUMIFS(Attendance_Daily!$V$4:$V$33, Attendance_Daily!$D$4:$D$33, A45)</f>
        <v>0</v>
      </c>
    </row>
    <row r="46" spans="1:15" ht="22.05" customHeight="1" x14ac:dyDescent="0.35">
      <c r="A46" s="5" t="str">
        <f>Employees!A10</f>
        <v>EMP-007</v>
      </c>
      <c r="B46" s="8" t="str">
        <f>Employees!B10</f>
        <v>Rithy Visal</v>
      </c>
      <c r="C46" s="4" t="str">
        <f>Employees!C10</f>
        <v>រិទ្ធី វិសាល</v>
      </c>
      <c r="D46" s="4" t="str">
        <f>Employees!E10</f>
        <v>Information Technology</v>
      </c>
      <c r="E46" s="9">
        <f>Settings!$B$11</f>
        <v>26</v>
      </c>
      <c r="F46" s="25">
        <f>COUNTIFS(Attendance_Daily!$D$4:$D$33, A46, Attendance_Daily!$U$4:$U$33, "&lt;&gt;Absent", Attendance_Daily!$U$4:$U$33, "&lt;&gt;Leave")</f>
        <v>2</v>
      </c>
      <c r="G46" s="26">
        <f>COUNTIFS(Attendance_Daily!$D$4:$D$33, A46, Attendance_Daily!$U$4:$U$33, "On Time")</f>
        <v>1</v>
      </c>
      <c r="H46" s="27">
        <f>COUNTIFS(Attendance_Daily!$D$4:$D$33, A46, Attendance_Daily!$S$4:$S$33, "&gt;0")</f>
        <v>0</v>
      </c>
      <c r="I46" s="11" t="e">
        <f>SUMIFS(Attendance_Daily!$S$4:$S$33, Attendance_Daily!$D$4:$D$33, A46)</f>
        <v>#VALUE!</v>
      </c>
      <c r="J46" s="28">
        <f>COUNTIFS(Attendance_Daily!$D$4:$D$33, A46, Attendance_Daily!$T$4:$T$33, "&gt;0")</f>
        <v>0</v>
      </c>
      <c r="K46" s="11" t="e">
        <f>SUMIFS(Attendance_Daily!$T$4:$T$33, Attendance_Daily!$D$4:$D$33, A46)</f>
        <v>#VALUE!</v>
      </c>
      <c r="L46" s="29">
        <f>COUNTIFS(Attendance_Daily!$D$4:$D$33, A46, Attendance_Daily!$U$4:$U$33, "*Leave*")</f>
        <v>1</v>
      </c>
      <c r="M46" s="30">
        <f>COUNTIFS(Attendance_Daily!$D$4:$D$33, A46, Attendance_Daily!$U$4:$U$33, "Absent")</f>
        <v>0</v>
      </c>
      <c r="N46" s="31">
        <f>SUMIFS(Attendance_Daily!$N$4:$N$33, Attendance_Daily!$D$4:$D$33, A46)</f>
        <v>12</v>
      </c>
      <c r="O46" s="32">
        <f>SUMIFS(Attendance_Daily!$V$4:$V$33, Attendance_Daily!$D$4:$D$33, A46)</f>
        <v>0</v>
      </c>
    </row>
    <row r="47" spans="1:15" ht="22.05" customHeight="1" x14ac:dyDescent="0.35">
      <c r="A47" s="3" t="str">
        <f>Employees!A11</f>
        <v>EMP-008</v>
      </c>
      <c r="B47" s="14" t="str">
        <f>Employees!B11</f>
        <v>Chhorn Sreyneang</v>
      </c>
      <c r="C47" s="2" t="str">
        <f>Employees!C11</f>
        <v>ឈន ស្រីនាង</v>
      </c>
      <c r="D47" s="2" t="str">
        <f>Employees!E11</f>
        <v>Finance &amp; Accounting</v>
      </c>
      <c r="E47" s="15">
        <f>Settings!$B$11</f>
        <v>26</v>
      </c>
      <c r="F47" s="33">
        <f>COUNTIFS(Attendance_Daily!$D$4:$D$33, A47, Attendance_Daily!$U$4:$U$33, "&lt;&gt;Absent", Attendance_Daily!$U$4:$U$33, "&lt;&gt;Leave")</f>
        <v>2</v>
      </c>
      <c r="G47" s="34">
        <f>COUNTIFS(Attendance_Daily!$D$4:$D$33, A47, Attendance_Daily!$U$4:$U$33, "On Time")</f>
        <v>2</v>
      </c>
      <c r="H47" s="35">
        <f>COUNTIFS(Attendance_Daily!$D$4:$D$33, A47, Attendance_Daily!$S$4:$S$33, "&gt;0")</f>
        <v>0</v>
      </c>
      <c r="I47" s="17" t="e">
        <f>SUMIFS(Attendance_Daily!$S$4:$S$33, Attendance_Daily!$D$4:$D$33, A47)</f>
        <v>#VALUE!</v>
      </c>
      <c r="J47" s="36">
        <f>COUNTIFS(Attendance_Daily!$D$4:$D$33, A47, Attendance_Daily!$T$4:$T$33, "&gt;0")</f>
        <v>0</v>
      </c>
      <c r="K47" s="17" t="e">
        <f>SUMIFS(Attendance_Daily!$T$4:$T$33, Attendance_Daily!$D$4:$D$33, A47)</f>
        <v>#VALUE!</v>
      </c>
      <c r="L47" s="37">
        <f>COUNTIFS(Attendance_Daily!$D$4:$D$33, A47, Attendance_Daily!$U$4:$U$33, "*Leave*")</f>
        <v>1</v>
      </c>
      <c r="M47" s="38">
        <f>COUNTIFS(Attendance_Daily!$D$4:$D$33, A47, Attendance_Daily!$U$4:$U$33, "Absent")</f>
        <v>0</v>
      </c>
      <c r="N47" s="39">
        <f>SUMIFS(Attendance_Daily!$N$4:$N$33, Attendance_Daily!$D$4:$D$33, A47)</f>
        <v>16.34</v>
      </c>
      <c r="O47" s="40">
        <f>SUMIFS(Attendance_Daily!$V$4:$V$33, Attendance_Daily!$D$4:$D$33, A47)</f>
        <v>0</v>
      </c>
    </row>
    <row r="48" spans="1:15" ht="22.05" customHeight="1" x14ac:dyDescent="0.35">
      <c r="A48" s="5" t="str">
        <f>Employees!A12</f>
        <v>EMP-009</v>
      </c>
      <c r="B48" s="8" t="str">
        <f>Employees!B12</f>
        <v>Long Kosal</v>
      </c>
      <c r="C48" s="4" t="str">
        <f>Employees!C12</f>
        <v>ឡុង កុសល</v>
      </c>
      <c r="D48" s="4" t="str">
        <f>Employees!E12</f>
        <v>Information Technology</v>
      </c>
      <c r="E48" s="9">
        <f>Settings!$B$11</f>
        <v>26</v>
      </c>
      <c r="F48" s="25">
        <f>COUNTIFS(Attendance_Daily!$D$4:$D$33, A48, Attendance_Daily!$U$4:$U$33, "&lt;&gt;Absent", Attendance_Daily!$U$4:$U$33, "&lt;&gt;Leave")</f>
        <v>2</v>
      </c>
      <c r="G48" s="26">
        <f>COUNTIFS(Attendance_Daily!$D$4:$D$33, A48, Attendance_Daily!$U$4:$U$33, "On Time")</f>
        <v>2</v>
      </c>
      <c r="H48" s="27">
        <f>COUNTIFS(Attendance_Daily!$D$4:$D$33, A48, Attendance_Daily!$S$4:$S$33, "&gt;0")</f>
        <v>0</v>
      </c>
      <c r="I48" s="11" t="e">
        <f>SUMIFS(Attendance_Daily!$S$4:$S$33, Attendance_Daily!$D$4:$D$33, A48)</f>
        <v>#VALUE!</v>
      </c>
      <c r="J48" s="28">
        <f>COUNTIFS(Attendance_Daily!$D$4:$D$33, A48, Attendance_Daily!$T$4:$T$33, "&gt;0")</f>
        <v>0</v>
      </c>
      <c r="K48" s="11" t="e">
        <f>SUMIFS(Attendance_Daily!$T$4:$T$33, Attendance_Daily!$D$4:$D$33, A48)</f>
        <v>#VALUE!</v>
      </c>
      <c r="L48" s="29">
        <f>COUNTIFS(Attendance_Daily!$D$4:$D$33, A48, Attendance_Daily!$U$4:$U$33, "*Leave*")</f>
        <v>0</v>
      </c>
      <c r="M48" s="30">
        <f>COUNTIFS(Attendance_Daily!$D$4:$D$33, A48, Attendance_Daily!$U$4:$U$33, "Absent")</f>
        <v>1</v>
      </c>
      <c r="N48" s="31">
        <f>SUMIFS(Attendance_Daily!$N$4:$N$33, Attendance_Daily!$D$4:$D$33, A48)</f>
        <v>16.329999999999998</v>
      </c>
      <c r="O48" s="32">
        <f>SUMIFS(Attendance_Daily!$V$4:$V$33, Attendance_Daily!$D$4:$D$33, A48)</f>
        <v>0</v>
      </c>
    </row>
    <row r="49" spans="1:15" ht="22.05" customHeight="1" x14ac:dyDescent="0.35">
      <c r="A49" s="3" t="str">
        <f>Employees!A13</f>
        <v>EMP-010</v>
      </c>
      <c r="B49" s="14" t="str">
        <f>Employees!B13</f>
        <v>Tep Nimol</v>
      </c>
      <c r="C49" s="2" t="str">
        <f>Employees!C13</f>
        <v>ទេព និមល</v>
      </c>
      <c r="D49" s="2" t="str">
        <f>Employees!E13</f>
        <v>Marketing &amp; Operations</v>
      </c>
      <c r="E49" s="15">
        <f>Settings!$B$11</f>
        <v>26</v>
      </c>
      <c r="F49" s="33">
        <f>COUNTIFS(Attendance_Daily!$D$4:$D$33, A49, Attendance_Daily!$U$4:$U$33, "&lt;&gt;Absent", Attendance_Daily!$U$4:$U$33, "&lt;&gt;Leave")</f>
        <v>3</v>
      </c>
      <c r="G49" s="34">
        <f>COUNTIFS(Attendance_Daily!$D$4:$D$33, A49, Attendance_Daily!$U$4:$U$33, "On Time")</f>
        <v>3</v>
      </c>
      <c r="H49" s="35">
        <f>COUNTIFS(Attendance_Daily!$D$4:$D$33, A49, Attendance_Daily!$S$4:$S$33, "&gt;0")</f>
        <v>0</v>
      </c>
      <c r="I49" s="17">
        <f>SUMIFS(Attendance_Daily!$S$4:$S$33, Attendance_Daily!$D$4:$D$33, A49)</f>
        <v>0</v>
      </c>
      <c r="J49" s="36">
        <f>COUNTIFS(Attendance_Daily!$D$4:$D$33, A49, Attendance_Daily!$T$4:$T$33, "&gt;0")</f>
        <v>0</v>
      </c>
      <c r="K49" s="17">
        <f>SUMIFS(Attendance_Daily!$T$4:$T$33, Attendance_Daily!$D$4:$D$33, A49)</f>
        <v>0</v>
      </c>
      <c r="L49" s="37">
        <f>COUNTIFS(Attendance_Daily!$D$4:$D$33, A49, Attendance_Daily!$U$4:$U$33, "*Leave*")</f>
        <v>0</v>
      </c>
      <c r="M49" s="38">
        <f>COUNTIFS(Attendance_Daily!$D$4:$D$33, A49, Attendance_Daily!$U$4:$U$33, "Absent")</f>
        <v>0</v>
      </c>
      <c r="N49" s="39">
        <f>SUMIFS(Attendance_Daily!$N$4:$N$33, Attendance_Daily!$D$4:$D$33, A49)</f>
        <v>28.25</v>
      </c>
      <c r="O49" s="40">
        <f>SUMIFS(Attendance_Daily!$V$4:$V$33, Attendance_Daily!$D$4:$D$33, A49)</f>
        <v>3.5</v>
      </c>
    </row>
    <row r="50" spans="1:15" ht="25.05" customHeight="1" x14ac:dyDescent="0.35">
      <c r="A50" s="41" t="s">
        <v>37</v>
      </c>
      <c r="B50" s="42"/>
      <c r="C50" s="42"/>
      <c r="D50" s="42"/>
      <c r="E50" s="42"/>
      <c r="F50" s="43">
        <f t="shared" ref="F50:O50" si="2">SUM(F40:F49)</f>
        <v>26</v>
      </c>
      <c r="G50" s="43">
        <f t="shared" si="2"/>
        <v>18</v>
      </c>
      <c r="H50" s="43">
        <f t="shared" si="2"/>
        <v>5</v>
      </c>
      <c r="I50" s="43" t="e">
        <f t="shared" si="2"/>
        <v>#VALUE!</v>
      </c>
      <c r="J50" s="43">
        <f t="shared" si="2"/>
        <v>3</v>
      </c>
      <c r="K50" s="43" t="e">
        <f t="shared" si="2"/>
        <v>#VALUE!</v>
      </c>
      <c r="L50" s="43">
        <f t="shared" si="2"/>
        <v>6</v>
      </c>
      <c r="M50" s="43">
        <f t="shared" si="2"/>
        <v>1</v>
      </c>
      <c r="N50" s="44">
        <f t="shared" si="2"/>
        <v>209.19</v>
      </c>
      <c r="O50" s="45">
        <f t="shared" si="2"/>
        <v>4</v>
      </c>
    </row>
  </sheetData>
  <mergeCells count="12">
    <mergeCell ref="M5:P6"/>
    <mergeCell ref="M4:P4"/>
    <mergeCell ref="A1:P1"/>
    <mergeCell ref="A5:C6"/>
    <mergeCell ref="D5:F6"/>
    <mergeCell ref="D4:F4"/>
    <mergeCell ref="G5:I6"/>
    <mergeCell ref="J5:L6"/>
    <mergeCell ref="G4:I4"/>
    <mergeCell ref="J4:L4"/>
    <mergeCell ref="A4:C4"/>
    <mergeCell ref="A2:P2"/>
  </mergeCells>
  <conditionalFormatting sqref="F26:F35">
    <cfRule type="cellIs" dxfId="11" priority="1" operator="greaterThan">
      <formula>0</formula>
    </cfRule>
  </conditionalFormatting>
  <conditionalFormatting sqref="I26:I35">
    <cfRule type="cellIs" dxfId="10" priority="2" operator="greaterThan">
      <formula>0</formula>
    </cfRule>
  </conditionalFormatting>
  <conditionalFormatting sqref="L26:L35">
    <cfRule type="cellIs" dxfId="9" priority="3" operator="equal">
      <formula>"Formal Warning / ព្រមានជាលាយលក្ខណ៍អក្សរ"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sqref="A1:G1"/>
    </sheetView>
  </sheetViews>
  <sheetFormatPr defaultRowHeight="14.4" x14ac:dyDescent="0.3"/>
  <cols>
    <col min="1" max="1" width="66" customWidth="1"/>
    <col min="2" max="2" width="19" customWidth="1"/>
    <col min="3" max="3" width="35" customWidth="1"/>
    <col min="4" max="4" width="25" customWidth="1"/>
    <col min="5" max="5" width="19" customWidth="1"/>
    <col min="6" max="6" width="23" customWidth="1"/>
    <col min="7" max="7" width="53" customWidth="1"/>
  </cols>
  <sheetData>
    <row r="1" spans="1:7" ht="40.049999999999997" customHeight="1" x14ac:dyDescent="0.3">
      <c r="A1" s="70" t="s">
        <v>38</v>
      </c>
      <c r="B1" s="71"/>
      <c r="C1" s="71"/>
      <c r="D1" s="71"/>
      <c r="E1" s="71"/>
      <c r="F1" s="71"/>
      <c r="G1" s="71"/>
    </row>
    <row r="3" spans="1:7" ht="16.8" x14ac:dyDescent="0.4">
      <c r="A3" s="23" t="s">
        <v>39</v>
      </c>
      <c r="F3" s="23" t="s">
        <v>40</v>
      </c>
    </row>
    <row r="4" spans="1:7" ht="25.05" customHeight="1" x14ac:dyDescent="0.3">
      <c r="A4" s="24" t="s">
        <v>41</v>
      </c>
      <c r="B4" s="24" t="s">
        <v>42</v>
      </c>
      <c r="C4" s="24" t="s">
        <v>43</v>
      </c>
      <c r="D4" s="24" t="s">
        <v>44</v>
      </c>
      <c r="F4" s="46" t="s">
        <v>45</v>
      </c>
      <c r="G4" s="46" t="s">
        <v>46</v>
      </c>
    </row>
    <row r="5" spans="1:7" ht="15" x14ac:dyDescent="0.35">
      <c r="A5" s="14" t="s">
        <v>47</v>
      </c>
      <c r="B5" s="47">
        <v>0.33333333333333331</v>
      </c>
      <c r="C5" s="2" t="s">
        <v>48</v>
      </c>
      <c r="D5" s="48" t="s">
        <v>49</v>
      </c>
      <c r="F5" s="5" t="s">
        <v>50</v>
      </c>
      <c r="G5" s="4" t="s">
        <v>51</v>
      </c>
    </row>
    <row r="6" spans="1:7" ht="15" x14ac:dyDescent="0.35">
      <c r="A6" s="8" t="s">
        <v>52</v>
      </c>
      <c r="B6" s="49">
        <v>0.5</v>
      </c>
      <c r="C6" s="4" t="s">
        <v>53</v>
      </c>
      <c r="D6" s="50" t="s">
        <v>54</v>
      </c>
      <c r="F6" s="5" t="s">
        <v>55</v>
      </c>
      <c r="G6" s="4" t="s">
        <v>56</v>
      </c>
    </row>
    <row r="7" spans="1:7" ht="15" x14ac:dyDescent="0.35">
      <c r="A7" s="14" t="s">
        <v>57</v>
      </c>
      <c r="B7" s="47">
        <v>0.54166666666666663</v>
      </c>
      <c r="C7" s="2" t="s">
        <v>58</v>
      </c>
      <c r="D7" s="48" t="s">
        <v>59</v>
      </c>
      <c r="F7" s="5" t="s">
        <v>60</v>
      </c>
      <c r="G7" s="4" t="s">
        <v>61</v>
      </c>
    </row>
    <row r="8" spans="1:7" ht="15" x14ac:dyDescent="0.35">
      <c r="A8" s="8" t="s">
        <v>62</v>
      </c>
      <c r="B8" s="49">
        <v>0.70833333333333337</v>
      </c>
      <c r="C8" s="4" t="s">
        <v>63</v>
      </c>
      <c r="D8" s="50" t="s">
        <v>64</v>
      </c>
      <c r="F8" s="5" t="s">
        <v>65</v>
      </c>
      <c r="G8" s="4" t="s">
        <v>66</v>
      </c>
    </row>
    <row r="9" spans="1:7" ht="15" x14ac:dyDescent="0.35">
      <c r="A9" s="14" t="s">
        <v>67</v>
      </c>
      <c r="B9" s="33">
        <v>15</v>
      </c>
      <c r="C9" s="2" t="s">
        <v>68</v>
      </c>
      <c r="D9" s="48" t="s">
        <v>69</v>
      </c>
    </row>
    <row r="10" spans="1:7" ht="15" x14ac:dyDescent="0.35">
      <c r="A10" s="8" t="s">
        <v>70</v>
      </c>
      <c r="B10" s="32">
        <v>8</v>
      </c>
      <c r="C10" s="4" t="s">
        <v>71</v>
      </c>
      <c r="D10" s="50" t="s">
        <v>72</v>
      </c>
    </row>
    <row r="11" spans="1:7" ht="15" x14ac:dyDescent="0.35">
      <c r="A11" s="14" t="s">
        <v>73</v>
      </c>
      <c r="B11" s="33">
        <v>26</v>
      </c>
      <c r="C11" s="2" t="s">
        <v>74</v>
      </c>
      <c r="D11" s="48" t="s">
        <v>75</v>
      </c>
    </row>
    <row r="14" spans="1:7" ht="16.8" x14ac:dyDescent="0.4">
      <c r="A14" s="23" t="s">
        <v>76</v>
      </c>
    </row>
    <row r="15" spans="1:7" ht="25.05" customHeight="1" x14ac:dyDescent="0.3">
      <c r="A15" s="46" t="s">
        <v>77</v>
      </c>
      <c r="B15" s="46" t="s">
        <v>78</v>
      </c>
      <c r="C15" s="46" t="s">
        <v>79</v>
      </c>
      <c r="D15" s="46" t="s">
        <v>80</v>
      </c>
      <c r="E15" s="46" t="s">
        <v>81</v>
      </c>
    </row>
    <row r="16" spans="1:7" ht="15" x14ac:dyDescent="0.35">
      <c r="A16" s="51" t="s">
        <v>82</v>
      </c>
      <c r="B16" s="4" t="s">
        <v>83</v>
      </c>
      <c r="C16" s="4" t="s">
        <v>84</v>
      </c>
      <c r="D16" s="51">
        <v>18</v>
      </c>
      <c r="E16" s="51" t="s">
        <v>85</v>
      </c>
    </row>
    <row r="17" spans="1:5" ht="15" x14ac:dyDescent="0.35">
      <c r="A17" s="52" t="s">
        <v>86</v>
      </c>
      <c r="B17" s="2" t="s">
        <v>87</v>
      </c>
      <c r="C17" s="2" t="s">
        <v>88</v>
      </c>
      <c r="D17" s="52">
        <v>12</v>
      </c>
      <c r="E17" s="52" t="s">
        <v>85</v>
      </c>
    </row>
    <row r="18" spans="1:5" ht="15" x14ac:dyDescent="0.35">
      <c r="A18" s="51" t="s">
        <v>89</v>
      </c>
      <c r="B18" s="4" t="s">
        <v>90</v>
      </c>
      <c r="C18" s="4" t="s">
        <v>91</v>
      </c>
      <c r="D18" s="51">
        <v>7</v>
      </c>
      <c r="E18" s="51" t="s">
        <v>85</v>
      </c>
    </row>
    <row r="19" spans="1:5" ht="15" x14ac:dyDescent="0.35">
      <c r="A19" s="52" t="s">
        <v>92</v>
      </c>
      <c r="B19" s="2" t="s">
        <v>93</v>
      </c>
      <c r="C19" s="2" t="s">
        <v>94</v>
      </c>
      <c r="D19" s="52">
        <v>90</v>
      </c>
      <c r="E19" s="52" t="s">
        <v>95</v>
      </c>
    </row>
    <row r="20" spans="1:5" ht="15" x14ac:dyDescent="0.35">
      <c r="A20" s="51" t="s">
        <v>96</v>
      </c>
      <c r="B20" s="4" t="s">
        <v>97</v>
      </c>
      <c r="C20" s="4" t="s">
        <v>98</v>
      </c>
      <c r="D20" s="51">
        <v>30</v>
      </c>
      <c r="E20" s="51" t="s">
        <v>99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workbookViewId="0">
      <selection activeCell="E17" sqref="E17"/>
    </sheetView>
  </sheetViews>
  <sheetFormatPr defaultRowHeight="14.4" x14ac:dyDescent="0.3"/>
  <cols>
    <col min="1" max="2" width="22" customWidth="1"/>
    <col min="3" max="3" width="20" customWidth="1"/>
    <col min="4" max="4" width="16" customWidth="1"/>
    <col min="5" max="6" width="25" customWidth="1"/>
    <col min="7" max="7" width="17" customWidth="1"/>
    <col min="8" max="8" width="14" customWidth="1"/>
    <col min="9" max="9" width="15" customWidth="1"/>
    <col min="10" max="10" width="14" customWidth="1"/>
    <col min="11" max="11" width="15" customWidth="1"/>
  </cols>
  <sheetData>
    <row r="1" spans="1:11" ht="40.049999999999997" customHeight="1" x14ac:dyDescent="0.3">
      <c r="A1" s="70" t="s">
        <v>100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3" spans="1:11" ht="28.05" customHeight="1" x14ac:dyDescent="0.3">
      <c r="A3" s="24" t="s">
        <v>15</v>
      </c>
      <c r="B3" s="24" t="s">
        <v>101</v>
      </c>
      <c r="C3" s="24" t="s">
        <v>102</v>
      </c>
      <c r="D3" s="24" t="s">
        <v>103</v>
      </c>
      <c r="E3" s="24" t="s">
        <v>18</v>
      </c>
      <c r="F3" s="24" t="s">
        <v>104</v>
      </c>
      <c r="G3" s="24" t="s">
        <v>105</v>
      </c>
      <c r="H3" s="24" t="s">
        <v>106</v>
      </c>
      <c r="I3" s="24" t="s">
        <v>107</v>
      </c>
      <c r="J3" s="24" t="s">
        <v>108</v>
      </c>
      <c r="K3" s="24" t="s">
        <v>109</v>
      </c>
    </row>
    <row r="4" spans="1:11" ht="22.05" customHeight="1" x14ac:dyDescent="0.35">
      <c r="A4" s="5" t="s">
        <v>110</v>
      </c>
      <c r="B4" s="4" t="s">
        <v>111</v>
      </c>
      <c r="C4" s="4" t="s">
        <v>112</v>
      </c>
      <c r="D4" s="51" t="s">
        <v>113</v>
      </c>
      <c r="E4" s="4" t="s">
        <v>114</v>
      </c>
      <c r="F4" s="4" t="s">
        <v>115</v>
      </c>
      <c r="G4" s="4" t="s">
        <v>116</v>
      </c>
      <c r="H4" s="53">
        <v>0.33333333333333331</v>
      </c>
      <c r="I4" s="53">
        <v>0.5</v>
      </c>
      <c r="J4" s="53">
        <v>0.54166666666666663</v>
      </c>
      <c r="K4" s="53">
        <v>0.70833333333333337</v>
      </c>
    </row>
    <row r="5" spans="1:11" ht="22.05" customHeight="1" x14ac:dyDescent="0.35">
      <c r="A5" s="3" t="s">
        <v>117</v>
      </c>
      <c r="B5" s="2" t="s">
        <v>118</v>
      </c>
      <c r="C5" s="2" t="s">
        <v>119</v>
      </c>
      <c r="D5" s="52" t="s">
        <v>120</v>
      </c>
      <c r="E5" s="2" t="s">
        <v>121</v>
      </c>
      <c r="F5" s="2" t="s">
        <v>122</v>
      </c>
      <c r="G5" s="2" t="s">
        <v>116</v>
      </c>
      <c r="H5" s="54">
        <v>0.33333333333333331</v>
      </c>
      <c r="I5" s="54">
        <v>0.5</v>
      </c>
      <c r="J5" s="54">
        <v>0.54166666666666663</v>
      </c>
      <c r="K5" s="54">
        <v>0.70833333333333337</v>
      </c>
    </row>
    <row r="6" spans="1:11" ht="22.05" customHeight="1" x14ac:dyDescent="0.35">
      <c r="A6" s="5" t="s">
        <v>123</v>
      </c>
      <c r="B6" s="4" t="s">
        <v>124</v>
      </c>
      <c r="C6" s="4" t="s">
        <v>125</v>
      </c>
      <c r="D6" s="51" t="s">
        <v>113</v>
      </c>
      <c r="E6" s="4" t="s">
        <v>114</v>
      </c>
      <c r="F6" s="4" t="s">
        <v>126</v>
      </c>
      <c r="G6" s="4" t="s">
        <v>116</v>
      </c>
      <c r="H6" s="53">
        <v>0.33333333333333331</v>
      </c>
      <c r="I6" s="53">
        <v>0.5</v>
      </c>
      <c r="J6" s="53">
        <v>0.54166666666666663</v>
      </c>
      <c r="K6" s="53">
        <v>0.70833333333333337</v>
      </c>
    </row>
    <row r="7" spans="1:11" ht="22.05" customHeight="1" x14ac:dyDescent="0.35">
      <c r="A7" s="3" t="s">
        <v>127</v>
      </c>
      <c r="B7" s="2" t="s">
        <v>128</v>
      </c>
      <c r="C7" s="2" t="s">
        <v>129</v>
      </c>
      <c r="D7" s="52" t="s">
        <v>120</v>
      </c>
      <c r="E7" s="2" t="s">
        <v>130</v>
      </c>
      <c r="F7" s="2" t="s">
        <v>131</v>
      </c>
      <c r="G7" s="2" t="s">
        <v>116</v>
      </c>
      <c r="H7" s="54">
        <v>0.33333333333333331</v>
      </c>
      <c r="I7" s="54">
        <v>0.5</v>
      </c>
      <c r="J7" s="54">
        <v>0.54166666666666663</v>
      </c>
      <c r="K7" s="54">
        <v>0.70833333333333337</v>
      </c>
    </row>
    <row r="8" spans="1:11" ht="22.05" customHeight="1" x14ac:dyDescent="0.35">
      <c r="A8" s="5" t="s">
        <v>132</v>
      </c>
      <c r="B8" s="4" t="s">
        <v>133</v>
      </c>
      <c r="C8" s="4" t="s">
        <v>134</v>
      </c>
      <c r="D8" s="51" t="s">
        <v>113</v>
      </c>
      <c r="E8" s="4" t="s">
        <v>135</v>
      </c>
      <c r="F8" s="4" t="s">
        <v>136</v>
      </c>
      <c r="G8" s="4" t="s">
        <v>116</v>
      </c>
      <c r="H8" s="53">
        <v>0.33333333333333331</v>
      </c>
      <c r="I8" s="53">
        <v>0.5</v>
      </c>
      <c r="J8" s="53">
        <v>0.54166666666666663</v>
      </c>
      <c r="K8" s="53">
        <v>0.70833333333333337</v>
      </c>
    </row>
    <row r="9" spans="1:11" ht="22.05" customHeight="1" x14ac:dyDescent="0.35">
      <c r="A9" s="3" t="s">
        <v>137</v>
      </c>
      <c r="B9" s="2" t="s">
        <v>138</v>
      </c>
      <c r="C9" s="2" t="s">
        <v>139</v>
      </c>
      <c r="D9" s="52" t="s">
        <v>120</v>
      </c>
      <c r="E9" s="2" t="s">
        <v>121</v>
      </c>
      <c r="F9" s="2" t="s">
        <v>140</v>
      </c>
      <c r="G9" s="2" t="s">
        <v>116</v>
      </c>
      <c r="H9" s="54">
        <v>0.33333333333333331</v>
      </c>
      <c r="I9" s="54">
        <v>0.5</v>
      </c>
      <c r="J9" s="54">
        <v>0.54166666666666663</v>
      </c>
      <c r="K9" s="54">
        <v>0.70833333333333337</v>
      </c>
    </row>
    <row r="10" spans="1:11" ht="22.05" customHeight="1" x14ac:dyDescent="0.35">
      <c r="A10" s="5" t="s">
        <v>141</v>
      </c>
      <c r="B10" s="4" t="s">
        <v>142</v>
      </c>
      <c r="C10" s="4" t="s">
        <v>143</v>
      </c>
      <c r="D10" s="51" t="s">
        <v>113</v>
      </c>
      <c r="E10" s="4" t="s">
        <v>114</v>
      </c>
      <c r="F10" s="4" t="s">
        <v>144</v>
      </c>
      <c r="G10" s="4" t="s">
        <v>116</v>
      </c>
      <c r="H10" s="53">
        <v>0.33333333333333331</v>
      </c>
      <c r="I10" s="53">
        <v>0.5</v>
      </c>
      <c r="J10" s="53">
        <v>0.54166666666666663</v>
      </c>
      <c r="K10" s="53">
        <v>0.70833333333333337</v>
      </c>
    </row>
    <row r="11" spans="1:11" ht="22.05" customHeight="1" x14ac:dyDescent="0.35">
      <c r="A11" s="3" t="s">
        <v>145</v>
      </c>
      <c r="B11" s="2" t="s">
        <v>146</v>
      </c>
      <c r="C11" s="2" t="s">
        <v>147</v>
      </c>
      <c r="D11" s="52" t="s">
        <v>120</v>
      </c>
      <c r="E11" s="2" t="s">
        <v>130</v>
      </c>
      <c r="F11" s="2" t="s">
        <v>148</v>
      </c>
      <c r="G11" s="2" t="s">
        <v>116</v>
      </c>
      <c r="H11" s="54">
        <v>0.33333333333333331</v>
      </c>
      <c r="I11" s="54">
        <v>0.5</v>
      </c>
      <c r="J11" s="54">
        <v>0.54166666666666663</v>
      </c>
      <c r="K11" s="54">
        <v>0.70833333333333337</v>
      </c>
    </row>
    <row r="12" spans="1:11" ht="22.05" customHeight="1" x14ac:dyDescent="0.35">
      <c r="A12" s="5" t="s">
        <v>149</v>
      </c>
      <c r="B12" s="4" t="s">
        <v>150</v>
      </c>
      <c r="C12" s="4" t="s">
        <v>151</v>
      </c>
      <c r="D12" s="51" t="s">
        <v>113</v>
      </c>
      <c r="E12" s="4" t="s">
        <v>114</v>
      </c>
      <c r="F12" s="4" t="s">
        <v>152</v>
      </c>
      <c r="G12" s="4" t="s">
        <v>116</v>
      </c>
      <c r="H12" s="53">
        <v>0.33333333333333331</v>
      </c>
      <c r="I12" s="53">
        <v>0.5</v>
      </c>
      <c r="J12" s="53">
        <v>0.54166666666666663</v>
      </c>
      <c r="K12" s="53">
        <v>0.70833333333333337</v>
      </c>
    </row>
    <row r="13" spans="1:11" ht="22.05" customHeight="1" x14ac:dyDescent="0.35">
      <c r="A13" s="3" t="s">
        <v>153</v>
      </c>
      <c r="B13" s="2" t="s">
        <v>154</v>
      </c>
      <c r="C13" s="2" t="s">
        <v>155</v>
      </c>
      <c r="D13" s="52" t="s">
        <v>120</v>
      </c>
      <c r="E13" s="2" t="s">
        <v>135</v>
      </c>
      <c r="F13" s="2" t="s">
        <v>156</v>
      </c>
      <c r="G13" s="2" t="s">
        <v>116</v>
      </c>
      <c r="H13" s="54">
        <v>0.33333333333333331</v>
      </c>
      <c r="I13" s="54">
        <v>0.5</v>
      </c>
      <c r="J13" s="54">
        <v>0.54166666666666663</v>
      </c>
      <c r="K13" s="54">
        <v>0.70833333333333337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sqref="A1:I1"/>
    </sheetView>
  </sheetViews>
  <sheetFormatPr defaultRowHeight="14.4" x14ac:dyDescent="0.3"/>
  <cols>
    <col min="1" max="1" width="15" customWidth="1"/>
    <col min="2" max="2" width="12" customWidth="1"/>
    <col min="3" max="3" width="22" customWidth="1"/>
    <col min="4" max="4" width="16" customWidth="1"/>
    <col min="5" max="5" width="22" customWidth="1"/>
    <col min="6" max="6" width="21" customWidth="1"/>
    <col min="7" max="7" width="15" customWidth="1"/>
    <col min="8" max="8" width="21" customWidth="1"/>
    <col min="9" max="9" width="30" customWidth="1"/>
  </cols>
  <sheetData>
    <row r="1" spans="1:9" ht="40.049999999999997" customHeight="1" x14ac:dyDescent="0.3">
      <c r="A1" s="70" t="s">
        <v>157</v>
      </c>
      <c r="B1" s="71"/>
      <c r="C1" s="71"/>
      <c r="D1" s="71"/>
      <c r="E1" s="71"/>
      <c r="F1" s="71"/>
      <c r="G1" s="71"/>
      <c r="H1" s="71"/>
      <c r="I1" s="71"/>
    </row>
    <row r="3" spans="1:9" ht="28.05" customHeight="1" x14ac:dyDescent="0.3">
      <c r="A3" s="24" t="s">
        <v>158</v>
      </c>
      <c r="B3" s="24" t="s">
        <v>159</v>
      </c>
      <c r="C3" s="24" t="s">
        <v>16</v>
      </c>
      <c r="D3" s="24" t="s">
        <v>160</v>
      </c>
      <c r="E3" s="24" t="s">
        <v>161</v>
      </c>
      <c r="F3" s="24" t="s">
        <v>162</v>
      </c>
      <c r="G3" s="24" t="s">
        <v>163</v>
      </c>
      <c r="H3" s="24" t="s">
        <v>164</v>
      </c>
      <c r="I3" s="24" t="s">
        <v>165</v>
      </c>
    </row>
    <row r="4" spans="1:9" ht="22.05" customHeight="1" x14ac:dyDescent="0.35">
      <c r="A4" s="5" t="s">
        <v>166</v>
      </c>
      <c r="B4" s="5" t="s">
        <v>127</v>
      </c>
      <c r="C4" s="4" t="str">
        <f>IFERROR(VLOOKUP(B4, Employees!$A$4:$C$50, 2, FALSE), "-")</f>
        <v>Sok Chenda</v>
      </c>
      <c r="D4" s="51" t="s">
        <v>83</v>
      </c>
      <c r="E4" s="55">
        <v>46268</v>
      </c>
      <c r="F4" s="51" t="s">
        <v>167</v>
      </c>
      <c r="G4" s="56">
        <v>1</v>
      </c>
      <c r="H4" s="51" t="s">
        <v>168</v>
      </c>
      <c r="I4" s="4" t="s">
        <v>169</v>
      </c>
    </row>
    <row r="5" spans="1:9" ht="22.05" customHeight="1" x14ac:dyDescent="0.35">
      <c r="A5" s="3" t="s">
        <v>170</v>
      </c>
      <c r="B5" s="3" t="s">
        <v>141</v>
      </c>
      <c r="C5" s="2" t="str">
        <f>IFERROR(VLOOKUP(B5, Employees!$A$4:$C$50, 2, FALSE), "-")</f>
        <v>Rithy Visal</v>
      </c>
      <c r="D5" s="52" t="s">
        <v>87</v>
      </c>
      <c r="E5" s="57">
        <v>46268</v>
      </c>
      <c r="F5" s="52" t="s">
        <v>167</v>
      </c>
      <c r="G5" s="58">
        <v>1</v>
      </c>
      <c r="H5" s="52" t="s">
        <v>168</v>
      </c>
      <c r="I5" s="2" t="s">
        <v>171</v>
      </c>
    </row>
    <row r="6" spans="1:9" ht="22.05" customHeight="1" x14ac:dyDescent="0.35">
      <c r="A6" s="5" t="s">
        <v>172</v>
      </c>
      <c r="B6" s="5" t="s">
        <v>145</v>
      </c>
      <c r="C6" s="4" t="str">
        <f>IFERROR(VLOOKUP(B6, Employees!$A$4:$C$50, 2, FALSE), "-")</f>
        <v>Chhorn Sreyneang</v>
      </c>
      <c r="D6" s="51" t="s">
        <v>87</v>
      </c>
      <c r="E6" s="55">
        <v>46266</v>
      </c>
      <c r="F6" s="51" t="s">
        <v>167</v>
      </c>
      <c r="G6" s="56">
        <v>1</v>
      </c>
      <c r="H6" s="51" t="s">
        <v>168</v>
      </c>
      <c r="I6" s="4" t="s">
        <v>173</v>
      </c>
    </row>
  </sheetData>
  <mergeCells count="1">
    <mergeCell ref="A1:I1"/>
  </mergeCells>
  <dataValidations count="2">
    <dataValidation type="list" allowBlank="1" sqref="F4:F100" xr:uid="{00000000-0002-0000-0300-000000000000}">
      <formula1>"Full Day,Morning Shift,Afternoon Shift"</formula1>
    </dataValidation>
    <dataValidation type="list" allowBlank="1" sqref="H4:H100" xr:uid="{00000000-0002-0000-0300-000001000000}">
      <formula1>"Approved,Pending,Rejected"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2000000}">
          <x14:formula1>
            <xm:f>Settings!$B$16:$B$20</xm:f>
          </x14:formula1>
          <xm:sqref>D4:D100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3"/>
  <sheetViews>
    <sheetView workbookViewId="0">
      <selection activeCell="B30" sqref="B30"/>
    </sheetView>
  </sheetViews>
  <sheetFormatPr defaultRowHeight="14.4" x14ac:dyDescent="0.3"/>
  <cols>
    <col min="1" max="1" width="12" customWidth="1"/>
    <col min="2" max="2" width="13" customWidth="1"/>
    <col min="3" max="3" width="14" customWidth="1"/>
    <col min="4" max="4" width="13" customWidth="1"/>
    <col min="5" max="5" width="20" customWidth="1"/>
    <col min="6" max="6" width="18" customWidth="1"/>
    <col min="7" max="7" width="24" customWidth="1"/>
    <col min="8" max="8" width="25" customWidth="1"/>
    <col min="9" max="9" width="26" customWidth="1"/>
    <col min="10" max="10" width="24" customWidth="1"/>
    <col min="11" max="11" width="25" customWidth="1"/>
    <col min="12" max="13" width="28" customWidth="1"/>
    <col min="14" max="14" width="26" customWidth="1"/>
    <col min="15" max="15" width="25" customWidth="1"/>
    <col min="16" max="16" width="29" customWidth="1"/>
    <col min="17" max="17" width="24" customWidth="1"/>
    <col min="18" max="18" width="28" customWidth="1"/>
    <col min="19" max="19" width="24" customWidth="1"/>
    <col min="20" max="20" width="28" customWidth="1"/>
    <col min="21" max="22" width="22" customWidth="1"/>
    <col min="23" max="23" width="30" customWidth="1"/>
  </cols>
  <sheetData>
    <row r="1" spans="1:23" ht="40.049999999999997" customHeight="1" x14ac:dyDescent="0.3">
      <c r="A1" s="70" t="s">
        <v>174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ht="24" customHeight="1" x14ac:dyDescent="0.3">
      <c r="A2" s="77" t="s">
        <v>175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</row>
    <row r="3" spans="1:23" ht="31.95" customHeight="1" x14ac:dyDescent="0.3">
      <c r="A3" s="24" t="s">
        <v>176</v>
      </c>
      <c r="B3" s="24" t="s">
        <v>161</v>
      </c>
      <c r="C3" s="24" t="s">
        <v>177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178</v>
      </c>
      <c r="I3" s="24" t="s">
        <v>179</v>
      </c>
      <c r="J3" s="24" t="s">
        <v>180</v>
      </c>
      <c r="K3" s="24" t="s">
        <v>181</v>
      </c>
      <c r="L3" s="24" t="s">
        <v>182</v>
      </c>
      <c r="M3" s="24" t="s">
        <v>183</v>
      </c>
      <c r="N3" s="24" t="s">
        <v>184</v>
      </c>
      <c r="O3" s="24" t="s">
        <v>185</v>
      </c>
      <c r="P3" s="24" t="s">
        <v>186</v>
      </c>
      <c r="Q3" s="24" t="s">
        <v>187</v>
      </c>
      <c r="R3" s="24" t="s">
        <v>188</v>
      </c>
      <c r="S3" s="24" t="s">
        <v>189</v>
      </c>
      <c r="T3" s="24" t="s">
        <v>190</v>
      </c>
      <c r="U3" s="24" t="s">
        <v>191</v>
      </c>
      <c r="V3" s="24" t="s">
        <v>192</v>
      </c>
      <c r="W3" s="24" t="s">
        <v>193</v>
      </c>
    </row>
    <row r="4" spans="1:23" ht="22.05" customHeight="1" x14ac:dyDescent="0.35">
      <c r="A4" s="9">
        <v>1</v>
      </c>
      <c r="B4" s="59">
        <v>46266</v>
      </c>
      <c r="C4" s="9" t="str">
        <f t="shared" ref="C4:C33" si="0">TEXT(B4,"dddd")</f>
        <v>Tuesday</v>
      </c>
      <c r="D4" s="5" t="s">
        <v>110</v>
      </c>
      <c r="E4" s="8" t="str">
        <f>IFERROR(VLOOKUP(D4, Employees!$A$4:$F$50, 2, FALSE), "-")</f>
        <v>Khoem Piseth</v>
      </c>
      <c r="F4" s="4" t="str">
        <f>IFERROR(VLOOKUP(D4, Employees!$A$4:$F$50, 3, FALSE), "-")</f>
        <v>ខឹម ពិសិដ្ឋ</v>
      </c>
      <c r="G4" s="4" t="str">
        <f>IFERROR(VLOOKUP(D4, Employees!$A$4:$F$50, 5, FALSE), "-")</f>
        <v>Information Technology</v>
      </c>
      <c r="H4" s="60">
        <v>0.32777777777777778</v>
      </c>
      <c r="I4" s="60">
        <v>0.50138888888888888</v>
      </c>
      <c r="J4" s="60">
        <v>0.53819444444444442</v>
      </c>
      <c r="K4" s="60">
        <v>0.71527777777777779</v>
      </c>
      <c r="L4" s="61">
        <f t="shared" ref="L4:L33" si="1">IF(AND(H4&lt;&gt;"", I4&lt;&gt;""), ROUND(MAX(0, (I4-H4)*24), 2), 0)</f>
        <v>4.17</v>
      </c>
      <c r="M4" s="61">
        <f t="shared" ref="M4:M33" si="2">IF(AND(J4&lt;&gt;"", K4&lt;&gt;""), ROUND(MAX(0, (K4-J4)*24), 2), 0)</f>
        <v>4.25</v>
      </c>
      <c r="N4" s="31">
        <f t="shared" ref="N4:N33" si="3">L4+M4</f>
        <v>8.42</v>
      </c>
      <c r="O4" s="11">
        <f>IF(H4="","", IF(H4 &gt; (Settings!$B$5 + Settings!$B$9/1440), ROUND((H4 - Settings!$B$5)*1440, 0), 0))</f>
        <v>0</v>
      </c>
      <c r="P4" s="11">
        <f>IF(I4="","", IF(I4 &lt; Settings!$B$6, ROUND((Settings!$B$6 - I4)*1440, 0), 0))</f>
        <v>0</v>
      </c>
      <c r="Q4" s="11">
        <f>IF(J4="","", IF(J4 &gt; (Settings!$B$7 + Settings!$B$9/1440), ROUND((J4 - Settings!$B$7)*1440, 0), 0))</f>
        <v>0</v>
      </c>
      <c r="R4" s="11">
        <f>IF(K4="","", IF(K4 &lt; Settings!$B$8, ROUND((Settings!$B$8 - K4)*1440, 0), 0))</f>
        <v>0</v>
      </c>
      <c r="S4" s="25">
        <f t="shared" ref="S4:S33" si="4">O4+Q4</f>
        <v>0</v>
      </c>
      <c r="T4" s="25">
        <f t="shared" ref="T4:T33" si="5">P4+R4</f>
        <v>0</v>
      </c>
      <c r="U4" s="5" t="str">
        <f>IF(COUNTIFS(Leaves!$B:$B, D4, Leaves!$E:$E, B4, Leaves!$H:$H, "Approved")&gt;0, "Leave",IF(AND(H4="", I4="", J4="", K4=""), "Absent",IF(OR(AND(H4&lt;&gt;"", I4=""), AND(H4="", I4&lt;&gt;""), AND(J4&lt;&gt;"", K4=""), AND(J4="", K4&lt;&gt;"")), "Incomplete Scan",IF(AND(S4&gt;0, T4&gt;0), "Late &amp; Early Leave",IF(S4&gt;0, "Late",IF(T4&gt;0, "Early Leave", "On Time"))))))</f>
        <v>On Time</v>
      </c>
      <c r="V4" s="13">
        <v>0</v>
      </c>
      <c r="W4" s="4" t="s">
        <v>194</v>
      </c>
    </row>
    <row r="5" spans="1:23" ht="22.05" customHeight="1" x14ac:dyDescent="0.35">
      <c r="A5" s="15">
        <v>2</v>
      </c>
      <c r="B5" s="62">
        <v>46266</v>
      </c>
      <c r="C5" s="15" t="str">
        <f t="shared" si="0"/>
        <v>Tuesday</v>
      </c>
      <c r="D5" s="3" t="s">
        <v>117</v>
      </c>
      <c r="E5" s="14" t="str">
        <f>IFERROR(VLOOKUP(D5, Employees!$A$4:$F$50, 2, FALSE), "-")</f>
        <v>Keo Sophea</v>
      </c>
      <c r="F5" s="2" t="str">
        <f>IFERROR(VLOOKUP(D5, Employees!$A$4:$F$50, 3, FALSE), "-")</f>
        <v>កែវ សុភា</v>
      </c>
      <c r="G5" s="2" t="str">
        <f>IFERROR(VLOOKUP(D5, Employees!$A$4:$F$50, 5, FALSE), "-")</f>
        <v>Human Resources</v>
      </c>
      <c r="H5" s="63">
        <v>0.33194444444444438</v>
      </c>
      <c r="I5" s="63">
        <v>0.5</v>
      </c>
      <c r="J5" s="63">
        <v>0.54027777777777775</v>
      </c>
      <c r="K5" s="63">
        <v>0.70972222222222225</v>
      </c>
      <c r="L5" s="64">
        <f t="shared" si="1"/>
        <v>4.03</v>
      </c>
      <c r="M5" s="64">
        <f t="shared" si="2"/>
        <v>4.07</v>
      </c>
      <c r="N5" s="39">
        <f t="shared" si="3"/>
        <v>8.1000000000000014</v>
      </c>
      <c r="O5" s="17">
        <f>IF(H5="","", IF(H5 &gt; (Settings!$B$5 + Settings!$B$9/1440), ROUND((H5 - Settings!$B$5)*1440, 0), 0))</f>
        <v>0</v>
      </c>
      <c r="P5" s="17">
        <f>IF(I5="","", IF(I5 &lt; Settings!$B$6, ROUND((Settings!$B$6 - I5)*1440, 0), 0))</f>
        <v>0</v>
      </c>
      <c r="Q5" s="17">
        <f>IF(J5="","", IF(J5 &gt; (Settings!$B$7 + Settings!$B$9/1440), ROUND((J5 - Settings!$B$7)*1440, 0), 0))</f>
        <v>0</v>
      </c>
      <c r="R5" s="17">
        <f>IF(K5="","", IF(K5 &lt; Settings!$B$8, ROUND((Settings!$B$8 - K5)*1440, 0), 0))</f>
        <v>0</v>
      </c>
      <c r="S5" s="33">
        <f t="shared" si="4"/>
        <v>0</v>
      </c>
      <c r="T5" s="33">
        <f t="shared" si="5"/>
        <v>0</v>
      </c>
      <c r="U5" s="3" t="str">
        <f>IF(COUNTIFS(Leaves!$B:$B, D5, Leaves!$E:$E, B5, Leaves!$H:$H, "Approved")&gt;0, "Leave",IF(AND(H5="", I5="", J5="", K5=""), "Absent",IF(OR(AND(H5&lt;&gt;"", I5=""), AND(H5="", I5&lt;&gt;""), AND(J5&lt;&gt;"", K5=""), AND(J5="", K5&lt;&gt;"")), "Incomplete Scan",IF(AND(S5&gt;0, T5&gt;0), "Late &amp; Early Leave",IF(S5&gt;0, "Late",IF(T5&gt;0, "Early Leave", "On Time"))))))</f>
        <v>On Time</v>
      </c>
      <c r="V5" s="19">
        <v>0</v>
      </c>
      <c r="W5" s="2" t="s">
        <v>194</v>
      </c>
    </row>
    <row r="6" spans="1:23" ht="22.05" customHeight="1" x14ac:dyDescent="0.35">
      <c r="A6" s="9">
        <v>3</v>
      </c>
      <c r="B6" s="59">
        <v>46266</v>
      </c>
      <c r="C6" s="9" t="str">
        <f t="shared" si="0"/>
        <v>Tuesday</v>
      </c>
      <c r="D6" s="5" t="s">
        <v>123</v>
      </c>
      <c r="E6" s="8" t="str">
        <f>IFERROR(VLOOKUP(D6, Employees!$A$4:$F$50, 2, FALSE), "-")</f>
        <v>Chan Dara</v>
      </c>
      <c r="F6" s="4" t="str">
        <f>IFERROR(VLOOKUP(D6, Employees!$A$4:$F$50, 3, FALSE), "-")</f>
        <v>ចាន់ ដារ៉ា</v>
      </c>
      <c r="G6" s="4" t="str">
        <f>IFERROR(VLOOKUP(D6, Employees!$A$4:$F$50, 5, FALSE), "-")</f>
        <v>Information Technology</v>
      </c>
      <c r="H6" s="60">
        <v>0.35069444444444442</v>
      </c>
      <c r="I6" s="60">
        <v>0.50347222222222221</v>
      </c>
      <c r="J6" s="60">
        <v>0.5395833333333333</v>
      </c>
      <c r="K6" s="60">
        <v>0.72916666666666663</v>
      </c>
      <c r="L6" s="61">
        <f t="shared" si="1"/>
        <v>3.67</v>
      </c>
      <c r="M6" s="61">
        <f t="shared" si="2"/>
        <v>4.55</v>
      </c>
      <c r="N6" s="31">
        <f t="shared" si="3"/>
        <v>8.2199999999999989</v>
      </c>
      <c r="O6" s="11">
        <f>IF(H6="","", IF(H6 &gt; (Settings!$B$5 + Settings!$B$9/1440), ROUND((H6 - Settings!$B$5)*1440, 0), 0))</f>
        <v>25</v>
      </c>
      <c r="P6" s="11">
        <f>IF(I6="","", IF(I6 &lt; Settings!$B$6, ROUND((Settings!$B$6 - I6)*1440, 0), 0))</f>
        <v>0</v>
      </c>
      <c r="Q6" s="11">
        <f>IF(J6="","", IF(J6 &gt; (Settings!$B$7 + Settings!$B$9/1440), ROUND((J6 - Settings!$B$7)*1440, 0), 0))</f>
        <v>0</v>
      </c>
      <c r="R6" s="11">
        <f>IF(K6="","", IF(K6 &lt; Settings!$B$8, ROUND((Settings!$B$8 - K6)*1440, 0), 0))</f>
        <v>0</v>
      </c>
      <c r="S6" s="25">
        <f t="shared" si="4"/>
        <v>25</v>
      </c>
      <c r="T6" s="25">
        <f t="shared" si="5"/>
        <v>0</v>
      </c>
      <c r="U6" s="5" t="str">
        <f>IF(COUNTIFS(Leaves!$B:$B, D6, Leaves!$E:$E, B6, Leaves!$H:$H, "Approved")&gt;0, "Leave",IF(AND(H6="", I6="", J6="", K6=""), "Absent",IF(OR(AND(H6&lt;&gt;"", I6=""), AND(H6="", I6&lt;&gt;""), AND(J6&lt;&gt;"", K6=""), AND(J6="", K6&lt;&gt;"")), "Incomplete Scan",IF(AND(S6&gt;0, T6&gt;0), "Late &amp; Early Leave",IF(S6&gt;0, "Late",IF(T6&gt;0, "Early Leave", "On Time"))))))</f>
        <v>Late</v>
      </c>
      <c r="V6" s="13">
        <v>0.5</v>
      </c>
      <c r="W6" s="4" t="s">
        <v>195</v>
      </c>
    </row>
    <row r="7" spans="1:23" ht="22.05" customHeight="1" x14ac:dyDescent="0.35">
      <c r="A7" s="15">
        <v>4</v>
      </c>
      <c r="B7" s="62">
        <v>46266</v>
      </c>
      <c r="C7" s="15" t="str">
        <f t="shared" si="0"/>
        <v>Tuesday</v>
      </c>
      <c r="D7" s="3" t="s">
        <v>127</v>
      </c>
      <c r="E7" s="14" t="str">
        <f>IFERROR(VLOOKUP(D7, Employees!$A$4:$F$50, 2, FALSE), "-")</f>
        <v>Sok Chenda</v>
      </c>
      <c r="F7" s="2" t="str">
        <f>IFERROR(VLOOKUP(D7, Employees!$A$4:$F$50, 3, FALSE), "-")</f>
        <v>សុខ ចិន្តា</v>
      </c>
      <c r="G7" s="2" t="str">
        <f>IFERROR(VLOOKUP(D7, Employees!$A$4:$F$50, 5, FALSE), "-")</f>
        <v>Finance &amp; Accounting</v>
      </c>
      <c r="H7" s="63">
        <v>0.3263888888888889</v>
      </c>
      <c r="I7" s="63">
        <v>0.4861111111111111</v>
      </c>
      <c r="J7" s="63">
        <v>0.53819444444444442</v>
      </c>
      <c r="K7" s="63">
        <v>0.70833333333333337</v>
      </c>
      <c r="L7" s="64">
        <f t="shared" si="1"/>
        <v>3.83</v>
      </c>
      <c r="M7" s="64">
        <f t="shared" si="2"/>
        <v>4.08</v>
      </c>
      <c r="N7" s="39">
        <f t="shared" si="3"/>
        <v>7.91</v>
      </c>
      <c r="O7" s="17">
        <f>IF(H7="","", IF(H7 &gt; (Settings!$B$5 + Settings!$B$9/1440), ROUND((H7 - Settings!$B$5)*1440, 0), 0))</f>
        <v>0</v>
      </c>
      <c r="P7" s="17">
        <f>IF(I7="","", IF(I7 &lt; Settings!$B$6, ROUND((Settings!$B$6 - I7)*1440, 0), 0))</f>
        <v>20</v>
      </c>
      <c r="Q7" s="17">
        <f>IF(J7="","", IF(J7 &gt; (Settings!$B$7 + Settings!$B$9/1440), ROUND((J7 - Settings!$B$7)*1440, 0), 0))</f>
        <v>0</v>
      </c>
      <c r="R7" s="17">
        <f>IF(K7="","", IF(K7 &lt; Settings!$B$8, ROUND((Settings!$B$8 - K7)*1440, 0), 0))</f>
        <v>0</v>
      </c>
      <c r="S7" s="33">
        <f t="shared" si="4"/>
        <v>0</v>
      </c>
      <c r="T7" s="33">
        <f t="shared" si="5"/>
        <v>20</v>
      </c>
      <c r="U7" s="3" t="str">
        <f>IF(COUNTIFS(Leaves!$B:$B, D7, Leaves!$E:$E, B7, Leaves!$H:$H, "Approved")&gt;0, "Leave",IF(AND(H7="", I7="", J7="", K7=""), "Absent",IF(OR(AND(H7&lt;&gt;"", I7=""), AND(H7="", I7&lt;&gt;""), AND(J7&lt;&gt;"", K7=""), AND(J7="", K7&lt;&gt;"")), "Incomplete Scan",IF(AND(S7&gt;0, T7&gt;0), "Late &amp; Early Leave",IF(S7&gt;0, "Late",IF(T7&gt;0, "Early Leave", "On Time"))))))</f>
        <v>Early Leave</v>
      </c>
      <c r="V7" s="19">
        <v>0</v>
      </c>
      <c r="W7" s="2" t="s">
        <v>196</v>
      </c>
    </row>
    <row r="8" spans="1:23" ht="22.05" customHeight="1" x14ac:dyDescent="0.35">
      <c r="A8" s="9">
        <v>5</v>
      </c>
      <c r="B8" s="59">
        <v>46266</v>
      </c>
      <c r="C8" s="9" t="str">
        <f t="shared" si="0"/>
        <v>Tuesday</v>
      </c>
      <c r="D8" s="5" t="s">
        <v>132</v>
      </c>
      <c r="E8" s="8" t="str">
        <f>IFERROR(VLOOKUP(D8, Employees!$A$4:$F$50, 2, FALSE), "-")</f>
        <v>Meng Chhay</v>
      </c>
      <c r="F8" s="4" t="str">
        <f>IFERROR(VLOOKUP(D8, Employees!$A$4:$F$50, 3, FALSE), "-")</f>
        <v>ម៉េង ឆាយ</v>
      </c>
      <c r="G8" s="4" t="str">
        <f>IFERROR(VLOOKUP(D8, Employees!$A$4:$F$50, 5, FALSE), "-")</f>
        <v>Marketing &amp; Operations</v>
      </c>
      <c r="H8" s="60">
        <v>0.33680555555555558</v>
      </c>
      <c r="I8" s="60">
        <v>0.5</v>
      </c>
      <c r="J8" s="60">
        <v>0.55902777777777779</v>
      </c>
      <c r="K8" s="60">
        <v>0.71180555555555558</v>
      </c>
      <c r="L8" s="61">
        <f t="shared" si="1"/>
        <v>3.92</v>
      </c>
      <c r="M8" s="61">
        <f t="shared" si="2"/>
        <v>3.67</v>
      </c>
      <c r="N8" s="31">
        <f t="shared" si="3"/>
        <v>7.59</v>
      </c>
      <c r="O8" s="11">
        <f>IF(H8="","", IF(H8 &gt; (Settings!$B$5 + Settings!$B$9/1440), ROUND((H8 - Settings!$B$5)*1440, 0), 0))</f>
        <v>0</v>
      </c>
      <c r="P8" s="11">
        <f>IF(I8="","", IF(I8 &lt; Settings!$B$6, ROUND((Settings!$B$6 - I8)*1440, 0), 0))</f>
        <v>0</v>
      </c>
      <c r="Q8" s="11">
        <f>IF(J8="","", IF(J8 &gt; (Settings!$B$7 + Settings!$B$9/1440), ROUND((J8 - Settings!$B$7)*1440, 0), 0))</f>
        <v>25</v>
      </c>
      <c r="R8" s="11">
        <f>IF(K8="","", IF(K8 &lt; Settings!$B$8, ROUND((Settings!$B$8 - K8)*1440, 0), 0))</f>
        <v>0</v>
      </c>
      <c r="S8" s="25">
        <f t="shared" si="4"/>
        <v>25</v>
      </c>
      <c r="T8" s="25">
        <f t="shared" si="5"/>
        <v>0</v>
      </c>
      <c r="U8" s="5" t="str">
        <f>IF(COUNTIFS(Leaves!$B:$B, D8, Leaves!$E:$E, B8, Leaves!$H:$H, "Approved")&gt;0, "Leave",IF(AND(H8="", I8="", J8="", K8=""), "Absent",IF(OR(AND(H8&lt;&gt;"", I8=""), AND(H8="", I8&lt;&gt;""), AND(J8&lt;&gt;"", K8=""), AND(J8="", K8&lt;&gt;"")), "Incomplete Scan",IF(AND(S8&gt;0, T8&gt;0), "Late &amp; Early Leave",IF(S8&gt;0, "Late",IF(T8&gt;0, "Early Leave", "On Time"))))))</f>
        <v>Late</v>
      </c>
      <c r="V8" s="13">
        <v>0</v>
      </c>
      <c r="W8" s="4" t="s">
        <v>197</v>
      </c>
    </row>
    <row r="9" spans="1:23" ht="22.05" customHeight="1" x14ac:dyDescent="0.35">
      <c r="A9" s="15">
        <v>6</v>
      </c>
      <c r="B9" s="62">
        <v>46266</v>
      </c>
      <c r="C9" s="15" t="str">
        <f t="shared" si="0"/>
        <v>Tuesday</v>
      </c>
      <c r="D9" s="3" t="s">
        <v>137</v>
      </c>
      <c r="E9" s="14" t="str">
        <f>IFERROR(VLOOKUP(D9, Employees!$A$4:$F$50, 2, FALSE), "-")</f>
        <v>Vannak Bopha</v>
      </c>
      <c r="F9" s="2" t="str">
        <f>IFERROR(VLOOKUP(D9, Employees!$A$4:$F$50, 3, FALSE), "-")</f>
        <v>វណ្ណៈ បុប្ផា</v>
      </c>
      <c r="G9" s="2" t="str">
        <f>IFERROR(VLOOKUP(D9, Employees!$A$4:$F$50, 5, FALSE), "-")</f>
        <v>Human Resources</v>
      </c>
      <c r="H9" s="63">
        <v>0.34722222222222221</v>
      </c>
      <c r="I9" s="63">
        <v>0.5</v>
      </c>
      <c r="J9" s="63">
        <v>0.54166666666666663</v>
      </c>
      <c r="K9" s="63">
        <v>0.69791666666666663</v>
      </c>
      <c r="L9" s="64">
        <f t="shared" si="1"/>
        <v>3.67</v>
      </c>
      <c r="M9" s="64">
        <f t="shared" si="2"/>
        <v>3.75</v>
      </c>
      <c r="N9" s="39">
        <f t="shared" si="3"/>
        <v>7.42</v>
      </c>
      <c r="O9" s="17">
        <f>IF(H9="","", IF(H9 &gt; (Settings!$B$5 + Settings!$B$9/1440), ROUND((H9 - Settings!$B$5)*1440, 0), 0))</f>
        <v>20</v>
      </c>
      <c r="P9" s="17">
        <f>IF(I9="","", IF(I9 &lt; Settings!$B$6, ROUND((Settings!$B$6 - I9)*1440, 0), 0))</f>
        <v>0</v>
      </c>
      <c r="Q9" s="17">
        <f>IF(J9="","", IF(J9 &gt; (Settings!$B$7 + Settings!$B$9/1440), ROUND((J9 - Settings!$B$7)*1440, 0), 0))</f>
        <v>0</v>
      </c>
      <c r="R9" s="17">
        <f>IF(K9="","", IF(K9 &lt; Settings!$B$8, ROUND((Settings!$B$8 - K9)*1440, 0), 0))</f>
        <v>15</v>
      </c>
      <c r="S9" s="33">
        <f t="shared" si="4"/>
        <v>20</v>
      </c>
      <c r="T9" s="33">
        <f t="shared" si="5"/>
        <v>15</v>
      </c>
      <c r="U9" s="3" t="str">
        <f>IF(COUNTIFS(Leaves!$B:$B, D9, Leaves!$E:$E, B9, Leaves!$H:$H, "Approved")&gt;0, "Leave",IF(AND(H9="", I9="", J9="", K9=""), "Absent",IF(OR(AND(H9&lt;&gt;"", I9=""), AND(H9="", I9&lt;&gt;""), AND(J9&lt;&gt;"", K9=""), AND(J9="", K9&lt;&gt;"")), "Incomplete Scan",IF(AND(S9&gt;0, T9&gt;0), "Late &amp; Early Leave",IF(S9&gt;0, "Late",IF(T9&gt;0, "Early Leave", "On Time"))))))</f>
        <v>Late &amp; Early Leave</v>
      </c>
      <c r="V9" s="19">
        <v>0</v>
      </c>
      <c r="W9" s="2" t="s">
        <v>198</v>
      </c>
    </row>
    <row r="10" spans="1:23" ht="22.05" customHeight="1" x14ac:dyDescent="0.35">
      <c r="A10" s="9">
        <v>7</v>
      </c>
      <c r="B10" s="59">
        <v>46266</v>
      </c>
      <c r="C10" s="9" t="str">
        <f t="shared" si="0"/>
        <v>Tuesday</v>
      </c>
      <c r="D10" s="5" t="s">
        <v>141</v>
      </c>
      <c r="E10" s="8" t="str">
        <f>IFERROR(VLOOKUP(D10, Employees!$A$4:$F$50, 2, FALSE), "-")</f>
        <v>Rithy Visal</v>
      </c>
      <c r="F10" s="4" t="str">
        <f>IFERROR(VLOOKUP(D10, Employees!$A$4:$F$50, 3, FALSE), "-")</f>
        <v>រិទ្ធី វិសាល</v>
      </c>
      <c r="G10" s="4" t="str">
        <f>IFERROR(VLOOKUP(D10, Employees!$A$4:$F$50, 5, FALSE), "-")</f>
        <v>Information Technology</v>
      </c>
      <c r="H10" s="60">
        <v>0.3298611111111111</v>
      </c>
      <c r="I10" s="9"/>
      <c r="J10" s="60">
        <v>0.54166666666666663</v>
      </c>
      <c r="K10" s="60">
        <v>0.70833333333333337</v>
      </c>
      <c r="L10" s="61">
        <f t="shared" si="1"/>
        <v>0</v>
      </c>
      <c r="M10" s="61">
        <f t="shared" si="2"/>
        <v>4</v>
      </c>
      <c r="N10" s="31">
        <f t="shared" si="3"/>
        <v>4</v>
      </c>
      <c r="O10" s="11">
        <f>IF(H10="","", IF(H10 &gt; (Settings!$B$5 + Settings!$B$9/1440), ROUND((H10 - Settings!$B$5)*1440, 0), 0))</f>
        <v>0</v>
      </c>
      <c r="P10" s="11" t="str">
        <f>IF(I10="","", IF(I10 &lt; Settings!$B$6, ROUND((Settings!$B$6 - I10)*1440, 0), 0))</f>
        <v/>
      </c>
      <c r="Q10" s="11">
        <f>IF(J10="","", IF(J10 &gt; (Settings!$B$7 + Settings!$B$9/1440), ROUND((J10 - Settings!$B$7)*1440, 0), 0))</f>
        <v>0</v>
      </c>
      <c r="R10" s="11">
        <f>IF(K10="","", IF(K10 &lt; Settings!$B$8, ROUND((Settings!$B$8 - K10)*1440, 0), 0))</f>
        <v>0</v>
      </c>
      <c r="S10" s="25">
        <f t="shared" si="4"/>
        <v>0</v>
      </c>
      <c r="T10" s="25" t="e">
        <f t="shared" si="5"/>
        <v>#VALUE!</v>
      </c>
      <c r="U10" s="5" t="str">
        <f>IF(COUNTIFS(Leaves!$B:$B, D10, Leaves!$E:$E, B10, Leaves!$H:$H, "Approved")&gt;0, "Leave",IF(AND(H10="", I10="", J10="", K10=""), "Absent",IF(OR(AND(H10&lt;&gt;"", I10=""), AND(H10="", I10&lt;&gt;""), AND(J10&lt;&gt;"", K10=""), AND(J10="", K10&lt;&gt;"")), "Incomplete Scan",IF(AND(S10&gt;0, T10&gt;0), "Late &amp; Early Leave",IF(S10&gt;0, "Late",IF(T10&gt;0, "Early Leave", "On Time"))))))</f>
        <v>Incomplete Scan</v>
      </c>
      <c r="V10" s="13">
        <v>0</v>
      </c>
      <c r="W10" s="4" t="s">
        <v>199</v>
      </c>
    </row>
    <row r="11" spans="1:23" ht="22.05" customHeight="1" x14ac:dyDescent="0.35">
      <c r="A11" s="15">
        <v>8</v>
      </c>
      <c r="B11" s="62">
        <v>46266</v>
      </c>
      <c r="C11" s="15" t="str">
        <f t="shared" si="0"/>
        <v>Tuesday</v>
      </c>
      <c r="D11" s="3" t="s">
        <v>145</v>
      </c>
      <c r="E11" s="14" t="str">
        <f>IFERROR(VLOOKUP(D11, Employees!$A$4:$F$50, 2, FALSE), "-")</f>
        <v>Chhorn Sreyneang</v>
      </c>
      <c r="F11" s="2" t="str">
        <f>IFERROR(VLOOKUP(D11, Employees!$A$4:$F$50, 3, FALSE), "-")</f>
        <v>ឈន ស្រីនាង</v>
      </c>
      <c r="G11" s="2" t="str">
        <f>IFERROR(VLOOKUP(D11, Employees!$A$4:$F$50, 5, FALSE), "-")</f>
        <v>Finance &amp; Accounting</v>
      </c>
      <c r="H11" s="15"/>
      <c r="I11" s="15"/>
      <c r="J11" s="15"/>
      <c r="K11" s="15"/>
      <c r="L11" s="64">
        <f t="shared" si="1"/>
        <v>0</v>
      </c>
      <c r="M11" s="64">
        <f t="shared" si="2"/>
        <v>0</v>
      </c>
      <c r="N11" s="39">
        <f t="shared" si="3"/>
        <v>0</v>
      </c>
      <c r="O11" s="17" t="str">
        <f>IF(H11="","", IF(H11 &gt; (Settings!$B$5 + Settings!$B$9/1440), ROUND((H11 - Settings!$B$5)*1440, 0), 0))</f>
        <v/>
      </c>
      <c r="P11" s="17" t="str">
        <f>IF(I11="","", IF(I11 &lt; Settings!$B$6, ROUND((Settings!$B$6 - I11)*1440, 0), 0))</f>
        <v/>
      </c>
      <c r="Q11" s="17" t="str">
        <f>IF(J11="","", IF(J11 &gt; (Settings!$B$7 + Settings!$B$9/1440), ROUND((J11 - Settings!$B$7)*1440, 0), 0))</f>
        <v/>
      </c>
      <c r="R11" s="17" t="str">
        <f>IF(K11="","", IF(K11 &lt; Settings!$B$8, ROUND((Settings!$B$8 - K11)*1440, 0), 0))</f>
        <v/>
      </c>
      <c r="S11" s="33" t="e">
        <f t="shared" si="4"/>
        <v>#VALUE!</v>
      </c>
      <c r="T11" s="33" t="e">
        <f t="shared" si="5"/>
        <v>#VALUE!</v>
      </c>
      <c r="U11" s="3" t="str">
        <f>IF(COUNTIFS(Leaves!$B:$B, D11, Leaves!$E:$E, B11, Leaves!$H:$H, "Approved")&gt;0, "Leave",IF(AND(H11="", I11="", J11="", K11=""), "Absent",IF(OR(AND(H11&lt;&gt;"", I11=""), AND(H11="", I11&lt;&gt;""), AND(J11&lt;&gt;"", K11=""), AND(J11="", K11&lt;&gt;"")), "Incomplete Scan",IF(AND(S11&gt;0, T11&gt;0), "Late &amp; Early Leave",IF(S11&gt;0, "Late",IF(T11&gt;0, "Early Leave", "On Time"))))))</f>
        <v>Leave</v>
      </c>
      <c r="V11" s="19">
        <v>0</v>
      </c>
      <c r="W11" s="2" t="s">
        <v>200</v>
      </c>
    </row>
    <row r="12" spans="1:23" ht="22.05" customHeight="1" x14ac:dyDescent="0.35">
      <c r="A12" s="9">
        <v>9</v>
      </c>
      <c r="B12" s="59">
        <v>46266</v>
      </c>
      <c r="C12" s="9" t="str">
        <f t="shared" si="0"/>
        <v>Tuesday</v>
      </c>
      <c r="D12" s="5" t="s">
        <v>149</v>
      </c>
      <c r="E12" s="8" t="str">
        <f>IFERROR(VLOOKUP(D12, Employees!$A$4:$F$50, 2, FALSE), "-")</f>
        <v>Long Kosal</v>
      </c>
      <c r="F12" s="4" t="str">
        <f>IFERROR(VLOOKUP(D12, Employees!$A$4:$F$50, 3, FALSE), "-")</f>
        <v>ឡុង កុសល</v>
      </c>
      <c r="G12" s="4" t="str">
        <f>IFERROR(VLOOKUP(D12, Employees!$A$4:$F$50, 5, FALSE), "-")</f>
        <v>Information Technology</v>
      </c>
      <c r="H12" s="9"/>
      <c r="I12" s="9"/>
      <c r="J12" s="9"/>
      <c r="K12" s="9"/>
      <c r="L12" s="61">
        <f t="shared" si="1"/>
        <v>0</v>
      </c>
      <c r="M12" s="61">
        <f t="shared" si="2"/>
        <v>0</v>
      </c>
      <c r="N12" s="31">
        <f t="shared" si="3"/>
        <v>0</v>
      </c>
      <c r="O12" s="11" t="str">
        <f>IF(H12="","", IF(H12 &gt; (Settings!$B$5 + Settings!$B$9/1440), ROUND((H12 - Settings!$B$5)*1440, 0), 0))</f>
        <v/>
      </c>
      <c r="P12" s="11" t="str">
        <f>IF(I12="","", IF(I12 &lt; Settings!$B$6, ROUND((Settings!$B$6 - I12)*1440, 0), 0))</f>
        <v/>
      </c>
      <c r="Q12" s="11" t="str">
        <f>IF(J12="","", IF(J12 &gt; (Settings!$B$7 + Settings!$B$9/1440), ROUND((J12 - Settings!$B$7)*1440, 0), 0))</f>
        <v/>
      </c>
      <c r="R12" s="11" t="str">
        <f>IF(K12="","", IF(K12 &lt; Settings!$B$8, ROUND((Settings!$B$8 - K12)*1440, 0), 0))</f>
        <v/>
      </c>
      <c r="S12" s="25" t="e">
        <f t="shared" si="4"/>
        <v>#VALUE!</v>
      </c>
      <c r="T12" s="25" t="e">
        <f t="shared" si="5"/>
        <v>#VALUE!</v>
      </c>
      <c r="U12" s="5" t="str">
        <f>IF(COUNTIFS(Leaves!$B:$B, D12, Leaves!$E:$E, B12, Leaves!$H:$H, "Approved")&gt;0, "Leave",IF(AND(H12="", I12="", J12="", K12=""), "Absent",IF(OR(AND(H12&lt;&gt;"", I12=""), AND(H12="", I12&lt;&gt;""), AND(J12&lt;&gt;"", K12=""), AND(J12="", K12&lt;&gt;"")), "Incomplete Scan",IF(AND(S12&gt;0, T12&gt;0), "Late &amp; Early Leave",IF(S12&gt;0, "Late",IF(T12&gt;0, "Early Leave", "On Time"))))))</f>
        <v>Absent</v>
      </c>
      <c r="V12" s="13">
        <v>0</v>
      </c>
      <c r="W12" s="4" t="s">
        <v>201</v>
      </c>
    </row>
    <row r="13" spans="1:23" ht="22.05" customHeight="1" x14ac:dyDescent="0.35">
      <c r="A13" s="15">
        <v>10</v>
      </c>
      <c r="B13" s="62">
        <v>46266</v>
      </c>
      <c r="C13" s="15" t="str">
        <f t="shared" si="0"/>
        <v>Tuesday</v>
      </c>
      <c r="D13" s="3" t="s">
        <v>153</v>
      </c>
      <c r="E13" s="14" t="str">
        <f>IFERROR(VLOOKUP(D13, Employees!$A$4:$F$50, 2, FALSE), "-")</f>
        <v>Tep Nimol</v>
      </c>
      <c r="F13" s="2" t="str">
        <f>IFERROR(VLOOKUP(D13, Employees!$A$4:$F$50, 3, FALSE), "-")</f>
        <v>ទេព និមល</v>
      </c>
      <c r="G13" s="2" t="str">
        <f>IFERROR(VLOOKUP(D13, Employees!$A$4:$F$50, 5, FALSE), "-")</f>
        <v>Marketing &amp; Operations</v>
      </c>
      <c r="H13" s="63">
        <v>0.32291666666666669</v>
      </c>
      <c r="I13" s="63">
        <v>0.5</v>
      </c>
      <c r="J13" s="63">
        <v>0.53472222222222221</v>
      </c>
      <c r="K13" s="63">
        <v>0.79166666666666663</v>
      </c>
      <c r="L13" s="64">
        <f t="shared" si="1"/>
        <v>4.25</v>
      </c>
      <c r="M13" s="64">
        <f t="shared" si="2"/>
        <v>6.17</v>
      </c>
      <c r="N13" s="39">
        <f t="shared" si="3"/>
        <v>10.42</v>
      </c>
      <c r="O13" s="17">
        <f>IF(H13="","", IF(H13 &gt; (Settings!$B$5 + Settings!$B$9/1440), ROUND((H13 - Settings!$B$5)*1440, 0), 0))</f>
        <v>0</v>
      </c>
      <c r="P13" s="17">
        <f>IF(I13="","", IF(I13 &lt; Settings!$B$6, ROUND((Settings!$B$6 - I13)*1440, 0), 0))</f>
        <v>0</v>
      </c>
      <c r="Q13" s="17">
        <f>IF(J13="","", IF(J13 &gt; (Settings!$B$7 + Settings!$B$9/1440), ROUND((J13 - Settings!$B$7)*1440, 0), 0))</f>
        <v>0</v>
      </c>
      <c r="R13" s="17">
        <f>IF(K13="","", IF(K13 &lt; Settings!$B$8, ROUND((Settings!$B$8 - K13)*1440, 0), 0))</f>
        <v>0</v>
      </c>
      <c r="S13" s="33">
        <f t="shared" si="4"/>
        <v>0</v>
      </c>
      <c r="T13" s="33">
        <f t="shared" si="5"/>
        <v>0</v>
      </c>
      <c r="U13" s="3" t="str">
        <f>IF(COUNTIFS(Leaves!$B:$B, D13, Leaves!$E:$E, B13, Leaves!$H:$H, "Approved")&gt;0, "Leave",IF(AND(H13="", I13="", J13="", K13=""), "Absent",IF(OR(AND(H13&lt;&gt;"", I13=""), AND(H13="", I13&lt;&gt;""), AND(J13&lt;&gt;"", K13=""), AND(J13="", K13&lt;&gt;"")), "Incomplete Scan",IF(AND(S13&gt;0, T13&gt;0), "Late &amp; Early Leave",IF(S13&gt;0, "Late",IF(T13&gt;0, "Early Leave", "On Time"))))))</f>
        <v>On Time</v>
      </c>
      <c r="V13" s="19">
        <v>2</v>
      </c>
      <c r="W13" s="2" t="s">
        <v>202</v>
      </c>
    </row>
    <row r="14" spans="1:23" ht="22.05" customHeight="1" x14ac:dyDescent="0.35">
      <c r="A14" s="9">
        <v>11</v>
      </c>
      <c r="B14" s="59">
        <v>46267</v>
      </c>
      <c r="C14" s="9" t="str">
        <f t="shared" si="0"/>
        <v>Wednesday</v>
      </c>
      <c r="D14" s="5" t="s">
        <v>110</v>
      </c>
      <c r="E14" s="8" t="str">
        <f>IFERROR(VLOOKUP(D14, Employees!$A$4:$F$50, 2, FALSE), "-")</f>
        <v>Khoem Piseth</v>
      </c>
      <c r="F14" s="4" t="str">
        <f>IFERROR(VLOOKUP(D14, Employees!$A$4:$F$50, 3, FALSE), "-")</f>
        <v>ខឹម ពិសិដ្ឋ</v>
      </c>
      <c r="G14" s="4" t="str">
        <f>IFERROR(VLOOKUP(D14, Employees!$A$4:$F$50, 5, FALSE), "-")</f>
        <v>Information Technology</v>
      </c>
      <c r="H14" s="60">
        <v>0.3263888888888889</v>
      </c>
      <c r="I14" s="60">
        <v>0.50069444444444444</v>
      </c>
      <c r="J14" s="60">
        <v>0.53611111111111109</v>
      </c>
      <c r="K14" s="60">
        <v>0.71180555555555558</v>
      </c>
      <c r="L14" s="61">
        <f t="shared" si="1"/>
        <v>4.18</v>
      </c>
      <c r="M14" s="61">
        <f t="shared" si="2"/>
        <v>4.22</v>
      </c>
      <c r="N14" s="31">
        <f t="shared" si="3"/>
        <v>8.3999999999999986</v>
      </c>
      <c r="O14" s="11">
        <f>IF(H14="","", IF(H14 &gt; (Settings!$B$5 + Settings!$B$9/1440), ROUND((H14 - Settings!$B$5)*1440, 0), 0))</f>
        <v>0</v>
      </c>
      <c r="P14" s="11">
        <f>IF(I14="","", IF(I14 &lt; Settings!$B$6, ROUND((Settings!$B$6 - I14)*1440, 0), 0))</f>
        <v>0</v>
      </c>
      <c r="Q14" s="11">
        <f>IF(J14="","", IF(J14 &gt; (Settings!$B$7 + Settings!$B$9/1440), ROUND((J14 - Settings!$B$7)*1440, 0), 0))</f>
        <v>0</v>
      </c>
      <c r="R14" s="11">
        <f>IF(K14="","", IF(K14 &lt; Settings!$B$8, ROUND((Settings!$B$8 - K14)*1440, 0), 0))</f>
        <v>0</v>
      </c>
      <c r="S14" s="25">
        <f t="shared" si="4"/>
        <v>0</v>
      </c>
      <c r="T14" s="25">
        <f t="shared" si="5"/>
        <v>0</v>
      </c>
      <c r="U14" s="5" t="str">
        <f>IF(COUNTIFS(Leaves!$B:$B, D14, Leaves!$E:$E, B14, Leaves!$H:$H, "Approved")&gt;0, "Leave",IF(AND(H14="", I14="", J14="", K14=""), "Absent",IF(OR(AND(H14&lt;&gt;"", I14=""), AND(H14="", I14&lt;&gt;""), AND(J14&lt;&gt;"", K14=""), AND(J14="", K14&lt;&gt;"")), "Incomplete Scan",IF(AND(S14&gt;0, T14&gt;0), "Late &amp; Early Leave",IF(S14&gt;0, "Late",IF(T14&gt;0, "Early Leave", "On Time"))))))</f>
        <v>On Time</v>
      </c>
      <c r="V14" s="13">
        <v>0</v>
      </c>
      <c r="W14" s="4" t="s">
        <v>203</v>
      </c>
    </row>
    <row r="15" spans="1:23" ht="22.05" customHeight="1" x14ac:dyDescent="0.35">
      <c r="A15" s="15">
        <v>12</v>
      </c>
      <c r="B15" s="62">
        <v>46267</v>
      </c>
      <c r="C15" s="15" t="str">
        <f t="shared" si="0"/>
        <v>Wednesday</v>
      </c>
      <c r="D15" s="3" t="s">
        <v>117</v>
      </c>
      <c r="E15" s="14" t="str">
        <f>IFERROR(VLOOKUP(D15, Employees!$A$4:$F$50, 2, FALSE), "-")</f>
        <v>Keo Sophea</v>
      </c>
      <c r="F15" s="2" t="str">
        <f>IFERROR(VLOOKUP(D15, Employees!$A$4:$F$50, 3, FALSE), "-")</f>
        <v>កែវ សុភា</v>
      </c>
      <c r="G15" s="2" t="str">
        <f>IFERROR(VLOOKUP(D15, Employees!$A$4:$F$50, 5, FALSE), "-")</f>
        <v>Human Resources</v>
      </c>
      <c r="H15" s="63">
        <v>0.3298611111111111</v>
      </c>
      <c r="I15" s="63">
        <v>0.5</v>
      </c>
      <c r="J15" s="63">
        <v>0.53819444444444442</v>
      </c>
      <c r="K15" s="63">
        <v>0.70833333333333337</v>
      </c>
      <c r="L15" s="64">
        <f t="shared" si="1"/>
        <v>4.08</v>
      </c>
      <c r="M15" s="64">
        <f t="shared" si="2"/>
        <v>4.08</v>
      </c>
      <c r="N15" s="39">
        <f t="shared" si="3"/>
        <v>8.16</v>
      </c>
      <c r="O15" s="17">
        <f>IF(H15="","", IF(H15 &gt; (Settings!$B$5 + Settings!$B$9/1440), ROUND((H15 - Settings!$B$5)*1440, 0), 0))</f>
        <v>0</v>
      </c>
      <c r="P15" s="17">
        <f>IF(I15="","", IF(I15 &lt; Settings!$B$6, ROUND((Settings!$B$6 - I15)*1440, 0), 0))</f>
        <v>0</v>
      </c>
      <c r="Q15" s="17">
        <f>IF(J15="","", IF(J15 &gt; (Settings!$B$7 + Settings!$B$9/1440), ROUND((J15 - Settings!$B$7)*1440, 0), 0))</f>
        <v>0</v>
      </c>
      <c r="R15" s="17">
        <f>IF(K15="","", IF(K15 &lt; Settings!$B$8, ROUND((Settings!$B$8 - K15)*1440, 0), 0))</f>
        <v>0</v>
      </c>
      <c r="S15" s="33">
        <f t="shared" si="4"/>
        <v>0</v>
      </c>
      <c r="T15" s="33">
        <f t="shared" si="5"/>
        <v>0</v>
      </c>
      <c r="U15" s="3" t="str">
        <f>IF(COUNTIFS(Leaves!$B:$B, D15, Leaves!$E:$E, B15, Leaves!$H:$H, "Approved")&gt;0, "Leave",IF(AND(H15="", I15="", J15="", K15=""), "Absent",IF(OR(AND(H15&lt;&gt;"", I15=""), AND(H15="", I15&lt;&gt;""), AND(J15&lt;&gt;"", K15=""), AND(J15="", K15&lt;&gt;"")), "Incomplete Scan",IF(AND(S15&gt;0, T15&gt;0), "Late &amp; Early Leave",IF(S15&gt;0, "Late",IF(T15&gt;0, "Early Leave", "On Time"))))))</f>
        <v>On Time</v>
      </c>
      <c r="V15" s="19">
        <v>0</v>
      </c>
      <c r="W15" s="2" t="s">
        <v>203</v>
      </c>
    </row>
    <row r="16" spans="1:23" ht="22.05" customHeight="1" x14ac:dyDescent="0.35">
      <c r="A16" s="9">
        <v>13</v>
      </c>
      <c r="B16" s="59">
        <v>46267</v>
      </c>
      <c r="C16" s="9" t="str">
        <f t="shared" si="0"/>
        <v>Wednesday</v>
      </c>
      <c r="D16" s="5" t="s">
        <v>123</v>
      </c>
      <c r="E16" s="8" t="str">
        <f>IFERROR(VLOOKUP(D16, Employees!$A$4:$F$50, 2, FALSE), "-")</f>
        <v>Chan Dara</v>
      </c>
      <c r="F16" s="4" t="str">
        <f>IFERROR(VLOOKUP(D16, Employees!$A$4:$F$50, 3, FALSE), "-")</f>
        <v>ចាន់ ដារ៉ា</v>
      </c>
      <c r="G16" s="4" t="str">
        <f>IFERROR(VLOOKUP(D16, Employees!$A$4:$F$50, 5, FALSE), "-")</f>
        <v>Information Technology</v>
      </c>
      <c r="H16" s="60">
        <v>0.32500000000000001</v>
      </c>
      <c r="I16" s="60">
        <v>0.5</v>
      </c>
      <c r="J16" s="60">
        <v>0.53472222222222221</v>
      </c>
      <c r="K16" s="60">
        <v>0.71875</v>
      </c>
      <c r="L16" s="61">
        <f t="shared" si="1"/>
        <v>4.2</v>
      </c>
      <c r="M16" s="61">
        <f t="shared" si="2"/>
        <v>4.42</v>
      </c>
      <c r="N16" s="31">
        <f t="shared" si="3"/>
        <v>8.620000000000001</v>
      </c>
      <c r="O16" s="11">
        <f>IF(H16="","", IF(H16 &gt; (Settings!$B$5 + Settings!$B$9/1440), ROUND((H16 - Settings!$B$5)*1440, 0), 0))</f>
        <v>0</v>
      </c>
      <c r="P16" s="11">
        <f>IF(I16="","", IF(I16 &lt; Settings!$B$6, ROUND((Settings!$B$6 - I16)*1440, 0), 0))</f>
        <v>0</v>
      </c>
      <c r="Q16" s="11">
        <f>IF(J16="","", IF(J16 &gt; (Settings!$B$7 + Settings!$B$9/1440), ROUND((J16 - Settings!$B$7)*1440, 0), 0))</f>
        <v>0</v>
      </c>
      <c r="R16" s="11">
        <f>IF(K16="","", IF(K16 &lt; Settings!$B$8, ROUND((Settings!$B$8 - K16)*1440, 0), 0))</f>
        <v>0</v>
      </c>
      <c r="S16" s="25">
        <f t="shared" si="4"/>
        <v>0</v>
      </c>
      <c r="T16" s="25">
        <f t="shared" si="5"/>
        <v>0</v>
      </c>
      <c r="U16" s="5" t="str">
        <f>IF(COUNTIFS(Leaves!$B:$B, D16, Leaves!$E:$E, B16, Leaves!$H:$H, "Approved")&gt;0, "Leave",IF(AND(H16="", I16="", J16="", K16=""), "Absent",IF(OR(AND(H16&lt;&gt;"", I16=""), AND(H16="", I16&lt;&gt;""), AND(J16&lt;&gt;"", K16=""), AND(J16="", K16&lt;&gt;"")), "Incomplete Scan",IF(AND(S16&gt;0, T16&gt;0), "Late &amp; Early Leave",IF(S16&gt;0, "Late",IF(T16&gt;0, "Early Leave", "On Time"))))))</f>
        <v>On Time</v>
      </c>
      <c r="V16" s="13">
        <v>0</v>
      </c>
      <c r="W16" s="4" t="s">
        <v>203</v>
      </c>
    </row>
    <row r="17" spans="1:23" ht="22.05" customHeight="1" x14ac:dyDescent="0.35">
      <c r="A17" s="15">
        <v>14</v>
      </c>
      <c r="B17" s="62">
        <v>46267</v>
      </c>
      <c r="C17" s="15" t="str">
        <f t="shared" si="0"/>
        <v>Wednesday</v>
      </c>
      <c r="D17" s="3" t="s">
        <v>127</v>
      </c>
      <c r="E17" s="14" t="str">
        <f>IFERROR(VLOOKUP(D17, Employees!$A$4:$F$50, 2, FALSE), "-")</f>
        <v>Sok Chenda</v>
      </c>
      <c r="F17" s="2" t="str">
        <f>IFERROR(VLOOKUP(D17, Employees!$A$4:$F$50, 3, FALSE), "-")</f>
        <v>សុខ ចិន្តា</v>
      </c>
      <c r="G17" s="2" t="str">
        <f>IFERROR(VLOOKUP(D17, Employees!$A$4:$F$50, 5, FALSE), "-")</f>
        <v>Finance &amp; Accounting</v>
      </c>
      <c r="H17" s="63">
        <v>0.34722222222222221</v>
      </c>
      <c r="I17" s="63">
        <v>0.5</v>
      </c>
      <c r="J17" s="63">
        <v>0.54166666666666663</v>
      </c>
      <c r="K17" s="63">
        <v>0.70833333333333337</v>
      </c>
      <c r="L17" s="64">
        <f t="shared" si="1"/>
        <v>3.67</v>
      </c>
      <c r="M17" s="64">
        <f t="shared" si="2"/>
        <v>4</v>
      </c>
      <c r="N17" s="39">
        <f t="shared" si="3"/>
        <v>7.67</v>
      </c>
      <c r="O17" s="17">
        <f>IF(H17="","", IF(H17 &gt; (Settings!$B$5 + Settings!$B$9/1440), ROUND((H17 - Settings!$B$5)*1440, 0), 0))</f>
        <v>20</v>
      </c>
      <c r="P17" s="17">
        <f>IF(I17="","", IF(I17 &lt; Settings!$B$6, ROUND((Settings!$B$6 - I17)*1440, 0), 0))</f>
        <v>0</v>
      </c>
      <c r="Q17" s="17">
        <f>IF(J17="","", IF(J17 &gt; (Settings!$B$7 + Settings!$B$9/1440), ROUND((J17 - Settings!$B$7)*1440, 0), 0))</f>
        <v>0</v>
      </c>
      <c r="R17" s="17">
        <f>IF(K17="","", IF(K17 &lt; Settings!$B$8, ROUND((Settings!$B$8 - K17)*1440, 0), 0))</f>
        <v>0</v>
      </c>
      <c r="S17" s="33">
        <f t="shared" si="4"/>
        <v>20</v>
      </c>
      <c r="T17" s="33">
        <f t="shared" si="5"/>
        <v>0</v>
      </c>
      <c r="U17" s="3" t="str">
        <f>IF(COUNTIFS(Leaves!$B:$B, D17, Leaves!$E:$E, B17, Leaves!$H:$H, "Approved")&gt;0, "Leave",IF(AND(H17="", I17="", J17="", K17=""), "Absent",IF(OR(AND(H17&lt;&gt;"", I17=""), AND(H17="", I17&lt;&gt;""), AND(J17&lt;&gt;"", K17=""), AND(J17="", K17&lt;&gt;"")), "Incomplete Scan",IF(AND(S17&gt;0, T17&gt;0), "Late &amp; Early Leave",IF(S17&gt;0, "Late",IF(T17&gt;0, "Early Leave", "On Time"))))))</f>
        <v>Late</v>
      </c>
      <c r="V17" s="19">
        <v>0</v>
      </c>
      <c r="W17" s="2" t="s">
        <v>204</v>
      </c>
    </row>
    <row r="18" spans="1:23" ht="22.05" customHeight="1" x14ac:dyDescent="0.35">
      <c r="A18" s="9">
        <v>15</v>
      </c>
      <c r="B18" s="59">
        <v>46267</v>
      </c>
      <c r="C18" s="9" t="str">
        <f t="shared" si="0"/>
        <v>Wednesday</v>
      </c>
      <c r="D18" s="5" t="s">
        <v>132</v>
      </c>
      <c r="E18" s="8" t="str">
        <f>IFERROR(VLOOKUP(D18, Employees!$A$4:$F$50, 2, FALSE), "-")</f>
        <v>Meng Chhay</v>
      </c>
      <c r="F18" s="4" t="str">
        <f>IFERROR(VLOOKUP(D18, Employees!$A$4:$F$50, 3, FALSE), "-")</f>
        <v>ម៉េង ឆាយ</v>
      </c>
      <c r="G18" s="4" t="str">
        <f>IFERROR(VLOOKUP(D18, Employees!$A$4:$F$50, 5, FALSE), "-")</f>
        <v>Marketing &amp; Operations</v>
      </c>
      <c r="H18" s="60">
        <v>0.33333333333333331</v>
      </c>
      <c r="I18" s="60">
        <v>0.5</v>
      </c>
      <c r="J18" s="60">
        <v>0.54166666666666663</v>
      </c>
      <c r="K18" s="60">
        <v>0.70833333333333337</v>
      </c>
      <c r="L18" s="61">
        <f t="shared" si="1"/>
        <v>4</v>
      </c>
      <c r="M18" s="61">
        <f t="shared" si="2"/>
        <v>4</v>
      </c>
      <c r="N18" s="31">
        <f t="shared" si="3"/>
        <v>8</v>
      </c>
      <c r="O18" s="11">
        <f>IF(H18="","", IF(H18 &gt; (Settings!$B$5 + Settings!$B$9/1440), ROUND((H18 - Settings!$B$5)*1440, 0), 0))</f>
        <v>0</v>
      </c>
      <c r="P18" s="11">
        <f>IF(I18="","", IF(I18 &lt; Settings!$B$6, ROUND((Settings!$B$6 - I18)*1440, 0), 0))</f>
        <v>0</v>
      </c>
      <c r="Q18" s="11">
        <f>IF(J18="","", IF(J18 &gt; (Settings!$B$7 + Settings!$B$9/1440), ROUND((J18 - Settings!$B$7)*1440, 0), 0))</f>
        <v>0</v>
      </c>
      <c r="R18" s="11">
        <f>IF(K18="","", IF(K18 &lt; Settings!$B$8, ROUND((Settings!$B$8 - K18)*1440, 0), 0))</f>
        <v>0</v>
      </c>
      <c r="S18" s="25">
        <f t="shared" si="4"/>
        <v>0</v>
      </c>
      <c r="T18" s="25">
        <f t="shared" si="5"/>
        <v>0</v>
      </c>
      <c r="U18" s="5" t="str">
        <f>IF(COUNTIFS(Leaves!$B:$B, D18, Leaves!$E:$E, B18, Leaves!$H:$H, "Approved")&gt;0, "Leave",IF(AND(H18="", I18="", J18="", K18=""), "Absent",IF(OR(AND(H18&lt;&gt;"", I18=""), AND(H18="", I18&lt;&gt;""), AND(J18&lt;&gt;"", K18=""), AND(J18="", K18&lt;&gt;"")), "Incomplete Scan",IF(AND(S18&gt;0, T18&gt;0), "Late &amp; Early Leave",IF(S18&gt;0, "Late",IF(T18&gt;0, "Early Leave", "On Time"))))))</f>
        <v>On Time</v>
      </c>
      <c r="V18" s="13">
        <v>0</v>
      </c>
      <c r="W18" s="4" t="s">
        <v>203</v>
      </c>
    </row>
    <row r="19" spans="1:23" ht="22.05" customHeight="1" x14ac:dyDescent="0.35">
      <c r="A19" s="15">
        <v>16</v>
      </c>
      <c r="B19" s="62">
        <v>46267</v>
      </c>
      <c r="C19" s="15" t="str">
        <f t="shared" si="0"/>
        <v>Wednesday</v>
      </c>
      <c r="D19" s="3" t="s">
        <v>137</v>
      </c>
      <c r="E19" s="14" t="str">
        <f>IFERROR(VLOOKUP(D19, Employees!$A$4:$F$50, 2, FALSE), "-")</f>
        <v>Vannak Bopha</v>
      </c>
      <c r="F19" s="2" t="str">
        <f>IFERROR(VLOOKUP(D19, Employees!$A$4:$F$50, 3, FALSE), "-")</f>
        <v>វណ្ណៈ បុប្ផា</v>
      </c>
      <c r="G19" s="2" t="str">
        <f>IFERROR(VLOOKUP(D19, Employees!$A$4:$F$50, 5, FALSE), "-")</f>
        <v>Human Resources</v>
      </c>
      <c r="H19" s="63">
        <v>0.33333333333333331</v>
      </c>
      <c r="I19" s="63">
        <v>0.5</v>
      </c>
      <c r="J19" s="63">
        <v>0.54166666666666663</v>
      </c>
      <c r="K19" s="63">
        <v>0.70833333333333337</v>
      </c>
      <c r="L19" s="64">
        <f t="shared" si="1"/>
        <v>4</v>
      </c>
      <c r="M19" s="64">
        <f t="shared" si="2"/>
        <v>4</v>
      </c>
      <c r="N19" s="39">
        <f t="shared" si="3"/>
        <v>8</v>
      </c>
      <c r="O19" s="17">
        <f>IF(H19="","", IF(H19 &gt; (Settings!$B$5 + Settings!$B$9/1440), ROUND((H19 - Settings!$B$5)*1440, 0), 0))</f>
        <v>0</v>
      </c>
      <c r="P19" s="17">
        <f>IF(I19="","", IF(I19 &lt; Settings!$B$6, ROUND((Settings!$B$6 - I19)*1440, 0), 0))</f>
        <v>0</v>
      </c>
      <c r="Q19" s="17">
        <f>IF(J19="","", IF(J19 &gt; (Settings!$B$7 + Settings!$B$9/1440), ROUND((J19 - Settings!$B$7)*1440, 0), 0))</f>
        <v>0</v>
      </c>
      <c r="R19" s="17">
        <f>IF(K19="","", IF(K19 &lt; Settings!$B$8, ROUND((Settings!$B$8 - K19)*1440, 0), 0))</f>
        <v>0</v>
      </c>
      <c r="S19" s="33">
        <f t="shared" si="4"/>
        <v>0</v>
      </c>
      <c r="T19" s="33">
        <f t="shared" si="5"/>
        <v>0</v>
      </c>
      <c r="U19" s="3" t="str">
        <f>IF(COUNTIFS(Leaves!$B:$B, D19, Leaves!$E:$E, B19, Leaves!$H:$H, "Approved")&gt;0, "Leave",IF(AND(H19="", I19="", J19="", K19=""), "Absent",IF(OR(AND(H19&lt;&gt;"", I19=""), AND(H19="", I19&lt;&gt;""), AND(J19&lt;&gt;"", K19=""), AND(J19="", K19&lt;&gt;"")), "Incomplete Scan",IF(AND(S19&gt;0, T19&gt;0), "Late &amp; Early Leave",IF(S19&gt;0, "Late",IF(T19&gt;0, "Early Leave", "On Time"))))))</f>
        <v>On Time</v>
      </c>
      <c r="V19" s="19">
        <v>0</v>
      </c>
      <c r="W19" s="2" t="s">
        <v>203</v>
      </c>
    </row>
    <row r="20" spans="1:23" ht="22.05" customHeight="1" x14ac:dyDescent="0.35">
      <c r="A20" s="9">
        <v>17</v>
      </c>
      <c r="B20" s="59">
        <v>46267</v>
      </c>
      <c r="C20" s="9" t="str">
        <f t="shared" si="0"/>
        <v>Wednesday</v>
      </c>
      <c r="D20" s="5" t="s">
        <v>141</v>
      </c>
      <c r="E20" s="8" t="str">
        <f>IFERROR(VLOOKUP(D20, Employees!$A$4:$F$50, 2, FALSE), "-")</f>
        <v>Rithy Visal</v>
      </c>
      <c r="F20" s="4" t="str">
        <f>IFERROR(VLOOKUP(D20, Employees!$A$4:$F$50, 3, FALSE), "-")</f>
        <v>រិទ្ធី វិសាល</v>
      </c>
      <c r="G20" s="4" t="str">
        <f>IFERROR(VLOOKUP(D20, Employees!$A$4:$F$50, 5, FALSE), "-")</f>
        <v>Information Technology</v>
      </c>
      <c r="H20" s="60">
        <v>0.33333333333333331</v>
      </c>
      <c r="I20" s="60">
        <v>0.5</v>
      </c>
      <c r="J20" s="60">
        <v>0.54166666666666663</v>
      </c>
      <c r="K20" s="60">
        <v>0.70833333333333337</v>
      </c>
      <c r="L20" s="61">
        <f t="shared" si="1"/>
        <v>4</v>
      </c>
      <c r="M20" s="61">
        <f t="shared" si="2"/>
        <v>4</v>
      </c>
      <c r="N20" s="31">
        <f t="shared" si="3"/>
        <v>8</v>
      </c>
      <c r="O20" s="11">
        <f>IF(H20="","", IF(H20 &gt; (Settings!$B$5 + Settings!$B$9/1440), ROUND((H20 - Settings!$B$5)*1440, 0), 0))</f>
        <v>0</v>
      </c>
      <c r="P20" s="11">
        <f>IF(I20="","", IF(I20 &lt; Settings!$B$6, ROUND((Settings!$B$6 - I20)*1440, 0), 0))</f>
        <v>0</v>
      </c>
      <c r="Q20" s="11">
        <f>IF(J20="","", IF(J20 &gt; (Settings!$B$7 + Settings!$B$9/1440), ROUND((J20 - Settings!$B$7)*1440, 0), 0))</f>
        <v>0</v>
      </c>
      <c r="R20" s="11">
        <f>IF(K20="","", IF(K20 &lt; Settings!$B$8, ROUND((Settings!$B$8 - K20)*1440, 0), 0))</f>
        <v>0</v>
      </c>
      <c r="S20" s="25">
        <f t="shared" si="4"/>
        <v>0</v>
      </c>
      <c r="T20" s="25">
        <f t="shared" si="5"/>
        <v>0</v>
      </c>
      <c r="U20" s="5" t="str">
        <f>IF(COUNTIFS(Leaves!$B:$B, D20, Leaves!$E:$E, B20, Leaves!$H:$H, "Approved")&gt;0, "Leave",IF(AND(H20="", I20="", J20="", K20=""), "Absent",IF(OR(AND(H20&lt;&gt;"", I20=""), AND(H20="", I20&lt;&gt;""), AND(J20&lt;&gt;"", K20=""), AND(J20="", K20&lt;&gt;"")), "Incomplete Scan",IF(AND(S20&gt;0, T20&gt;0), "Late &amp; Early Leave",IF(S20&gt;0, "Late",IF(T20&gt;0, "Early Leave", "On Time"))))))</f>
        <v>On Time</v>
      </c>
      <c r="V20" s="13">
        <v>0</v>
      </c>
      <c r="W20" s="4" t="s">
        <v>203</v>
      </c>
    </row>
    <row r="21" spans="1:23" ht="22.05" customHeight="1" x14ac:dyDescent="0.35">
      <c r="A21" s="15">
        <v>18</v>
      </c>
      <c r="B21" s="62">
        <v>46267</v>
      </c>
      <c r="C21" s="15" t="str">
        <f t="shared" si="0"/>
        <v>Wednesday</v>
      </c>
      <c r="D21" s="3" t="s">
        <v>145</v>
      </c>
      <c r="E21" s="14" t="str">
        <f>IFERROR(VLOOKUP(D21, Employees!$A$4:$F$50, 2, FALSE), "-")</f>
        <v>Chhorn Sreyneang</v>
      </c>
      <c r="F21" s="2" t="str">
        <f>IFERROR(VLOOKUP(D21, Employees!$A$4:$F$50, 3, FALSE), "-")</f>
        <v>ឈន ស្រីនាង</v>
      </c>
      <c r="G21" s="2" t="str">
        <f>IFERROR(VLOOKUP(D21, Employees!$A$4:$F$50, 5, FALSE), "-")</f>
        <v>Finance &amp; Accounting</v>
      </c>
      <c r="H21" s="63">
        <v>0.33333333333333331</v>
      </c>
      <c r="I21" s="63">
        <v>0.5</v>
      </c>
      <c r="J21" s="63">
        <v>0.54166666666666663</v>
      </c>
      <c r="K21" s="63">
        <v>0.70833333333333337</v>
      </c>
      <c r="L21" s="64">
        <f t="shared" si="1"/>
        <v>4</v>
      </c>
      <c r="M21" s="64">
        <f t="shared" si="2"/>
        <v>4</v>
      </c>
      <c r="N21" s="39">
        <f t="shared" si="3"/>
        <v>8</v>
      </c>
      <c r="O21" s="17">
        <f>IF(H21="","", IF(H21 &gt; (Settings!$B$5 + Settings!$B$9/1440), ROUND((H21 - Settings!$B$5)*1440, 0), 0))</f>
        <v>0</v>
      </c>
      <c r="P21" s="17">
        <f>IF(I21="","", IF(I21 &lt; Settings!$B$6, ROUND((Settings!$B$6 - I21)*1440, 0), 0))</f>
        <v>0</v>
      </c>
      <c r="Q21" s="17">
        <f>IF(J21="","", IF(J21 &gt; (Settings!$B$7 + Settings!$B$9/1440), ROUND((J21 - Settings!$B$7)*1440, 0), 0))</f>
        <v>0</v>
      </c>
      <c r="R21" s="17">
        <f>IF(K21="","", IF(K21 &lt; Settings!$B$8, ROUND((Settings!$B$8 - K21)*1440, 0), 0))</f>
        <v>0</v>
      </c>
      <c r="S21" s="33">
        <f t="shared" si="4"/>
        <v>0</v>
      </c>
      <c r="T21" s="33">
        <f t="shared" si="5"/>
        <v>0</v>
      </c>
      <c r="U21" s="3" t="str">
        <f>IF(COUNTIFS(Leaves!$B:$B, D21, Leaves!$E:$E, B21, Leaves!$H:$H, "Approved")&gt;0, "Leave",IF(AND(H21="", I21="", J21="", K21=""), "Absent",IF(OR(AND(H21&lt;&gt;"", I21=""), AND(H21="", I21&lt;&gt;""), AND(J21&lt;&gt;"", K21=""), AND(J21="", K21&lt;&gt;"")), "Incomplete Scan",IF(AND(S21&gt;0, T21&gt;0), "Late &amp; Early Leave",IF(S21&gt;0, "Late",IF(T21&gt;0, "Early Leave", "On Time"))))))</f>
        <v>On Time</v>
      </c>
      <c r="V21" s="19">
        <v>0</v>
      </c>
      <c r="W21" s="2" t="s">
        <v>203</v>
      </c>
    </row>
    <row r="22" spans="1:23" ht="22.05" customHeight="1" x14ac:dyDescent="0.35">
      <c r="A22" s="9">
        <v>19</v>
      </c>
      <c r="B22" s="59">
        <v>46267</v>
      </c>
      <c r="C22" s="9" t="str">
        <f t="shared" si="0"/>
        <v>Wednesday</v>
      </c>
      <c r="D22" s="5" t="s">
        <v>149</v>
      </c>
      <c r="E22" s="8" t="str">
        <f>IFERROR(VLOOKUP(D22, Employees!$A$4:$F$50, 2, FALSE), "-")</f>
        <v>Long Kosal</v>
      </c>
      <c r="F22" s="4" t="str">
        <f>IFERROR(VLOOKUP(D22, Employees!$A$4:$F$50, 3, FALSE), "-")</f>
        <v>ឡុង កុសល</v>
      </c>
      <c r="G22" s="4" t="str">
        <f>IFERROR(VLOOKUP(D22, Employees!$A$4:$F$50, 5, FALSE), "-")</f>
        <v>Information Technology</v>
      </c>
      <c r="H22" s="60">
        <v>0.34027777777777779</v>
      </c>
      <c r="I22" s="60">
        <v>0.5</v>
      </c>
      <c r="J22" s="60">
        <v>0.54166666666666663</v>
      </c>
      <c r="K22" s="60">
        <v>0.70833333333333337</v>
      </c>
      <c r="L22" s="61">
        <f t="shared" si="1"/>
        <v>3.83</v>
      </c>
      <c r="M22" s="61">
        <f t="shared" si="2"/>
        <v>4</v>
      </c>
      <c r="N22" s="31">
        <f t="shared" si="3"/>
        <v>7.83</v>
      </c>
      <c r="O22" s="11">
        <f>IF(H22="","", IF(H22 &gt; (Settings!$B$5 + Settings!$B$9/1440), ROUND((H22 - Settings!$B$5)*1440, 0), 0))</f>
        <v>0</v>
      </c>
      <c r="P22" s="11">
        <f>IF(I22="","", IF(I22 &lt; Settings!$B$6, ROUND((Settings!$B$6 - I22)*1440, 0), 0))</f>
        <v>0</v>
      </c>
      <c r="Q22" s="11">
        <f>IF(J22="","", IF(J22 &gt; (Settings!$B$7 + Settings!$B$9/1440), ROUND((J22 - Settings!$B$7)*1440, 0), 0))</f>
        <v>0</v>
      </c>
      <c r="R22" s="11">
        <f>IF(K22="","", IF(K22 &lt; Settings!$B$8, ROUND((Settings!$B$8 - K22)*1440, 0), 0))</f>
        <v>0</v>
      </c>
      <c r="S22" s="25">
        <f t="shared" si="4"/>
        <v>0</v>
      </c>
      <c r="T22" s="25">
        <f t="shared" si="5"/>
        <v>0</v>
      </c>
      <c r="U22" s="5" t="str">
        <f>IF(COUNTIFS(Leaves!$B:$B, D22, Leaves!$E:$E, B22, Leaves!$H:$H, "Approved")&gt;0, "Leave",IF(AND(H22="", I22="", J22="", K22=""), "Absent",IF(OR(AND(H22&lt;&gt;"", I22=""), AND(H22="", I22&lt;&gt;""), AND(J22&lt;&gt;"", K22=""), AND(J22="", K22&lt;&gt;"")), "Incomplete Scan",IF(AND(S22&gt;0, T22&gt;0), "Late &amp; Early Leave",IF(S22&gt;0, "Late",IF(T22&gt;0, "Early Leave", "On Time"))))))</f>
        <v>On Time</v>
      </c>
      <c r="V22" s="13">
        <v>0</v>
      </c>
      <c r="W22" s="4" t="s">
        <v>205</v>
      </c>
    </row>
    <row r="23" spans="1:23" ht="22.05" customHeight="1" x14ac:dyDescent="0.35">
      <c r="A23" s="15">
        <v>20</v>
      </c>
      <c r="B23" s="62">
        <v>46267</v>
      </c>
      <c r="C23" s="15" t="str">
        <f t="shared" si="0"/>
        <v>Wednesday</v>
      </c>
      <c r="D23" s="3" t="s">
        <v>153</v>
      </c>
      <c r="E23" s="14" t="str">
        <f>IFERROR(VLOOKUP(D23, Employees!$A$4:$F$50, 2, FALSE), "-")</f>
        <v>Tep Nimol</v>
      </c>
      <c r="F23" s="2" t="str">
        <f>IFERROR(VLOOKUP(D23, Employees!$A$4:$F$50, 3, FALSE), "-")</f>
        <v>ទេព និមល</v>
      </c>
      <c r="G23" s="2" t="str">
        <f>IFERROR(VLOOKUP(D23, Employees!$A$4:$F$50, 5, FALSE), "-")</f>
        <v>Marketing &amp; Operations</v>
      </c>
      <c r="H23" s="63">
        <v>0.3263888888888889</v>
      </c>
      <c r="I23" s="63">
        <v>0.5</v>
      </c>
      <c r="J23" s="63">
        <v>0.54166666666666663</v>
      </c>
      <c r="K23" s="63">
        <v>0.70833333333333337</v>
      </c>
      <c r="L23" s="64">
        <f t="shared" si="1"/>
        <v>4.17</v>
      </c>
      <c r="M23" s="64">
        <f t="shared" si="2"/>
        <v>4</v>
      </c>
      <c r="N23" s="39">
        <f t="shared" si="3"/>
        <v>8.17</v>
      </c>
      <c r="O23" s="17">
        <f>IF(H23="","", IF(H23 &gt; (Settings!$B$5 + Settings!$B$9/1440), ROUND((H23 - Settings!$B$5)*1440, 0), 0))</f>
        <v>0</v>
      </c>
      <c r="P23" s="17">
        <f>IF(I23="","", IF(I23 &lt; Settings!$B$6, ROUND((Settings!$B$6 - I23)*1440, 0), 0))</f>
        <v>0</v>
      </c>
      <c r="Q23" s="17">
        <f>IF(J23="","", IF(J23 &gt; (Settings!$B$7 + Settings!$B$9/1440), ROUND((J23 - Settings!$B$7)*1440, 0), 0))</f>
        <v>0</v>
      </c>
      <c r="R23" s="17">
        <f>IF(K23="","", IF(K23 &lt; Settings!$B$8, ROUND((Settings!$B$8 - K23)*1440, 0), 0))</f>
        <v>0</v>
      </c>
      <c r="S23" s="33">
        <f t="shared" si="4"/>
        <v>0</v>
      </c>
      <c r="T23" s="33">
        <f t="shared" si="5"/>
        <v>0</v>
      </c>
      <c r="U23" s="3" t="str">
        <f>IF(COUNTIFS(Leaves!$B:$B, D23, Leaves!$E:$E, B23, Leaves!$H:$H, "Approved")&gt;0, "Leave",IF(AND(H23="", I23="", J23="", K23=""), "Absent",IF(OR(AND(H23&lt;&gt;"", I23=""), AND(H23="", I23&lt;&gt;""), AND(J23&lt;&gt;"", K23=""), AND(J23="", K23&lt;&gt;"")), "Incomplete Scan",IF(AND(S23&gt;0, T23&gt;0), "Late &amp; Early Leave",IF(S23&gt;0, "Late",IF(T23&gt;0, "Early Leave", "On Time"))))))</f>
        <v>On Time</v>
      </c>
      <c r="V23" s="19">
        <v>0</v>
      </c>
      <c r="W23" s="2" t="s">
        <v>203</v>
      </c>
    </row>
    <row r="24" spans="1:23" ht="22.05" customHeight="1" x14ac:dyDescent="0.35">
      <c r="A24" s="9">
        <v>21</v>
      </c>
      <c r="B24" s="59">
        <v>46268</v>
      </c>
      <c r="C24" s="9" t="str">
        <f t="shared" si="0"/>
        <v>Thursday</v>
      </c>
      <c r="D24" s="5" t="s">
        <v>110</v>
      </c>
      <c r="E24" s="8" t="str">
        <f>IFERROR(VLOOKUP(D24, Employees!$A$4:$F$50, 2, FALSE), "-")</f>
        <v>Khoem Piseth</v>
      </c>
      <c r="F24" s="4" t="str">
        <f>IFERROR(VLOOKUP(D24, Employees!$A$4:$F$50, 3, FALSE), "-")</f>
        <v>ខឹម ពិសិដ្ឋ</v>
      </c>
      <c r="G24" s="4" t="str">
        <f>IFERROR(VLOOKUP(D24, Employees!$A$4:$F$50, 5, FALSE), "-")</f>
        <v>Information Technology</v>
      </c>
      <c r="H24" s="60">
        <v>0.3298611111111111</v>
      </c>
      <c r="I24" s="60">
        <v>0.50347222222222221</v>
      </c>
      <c r="J24" s="60">
        <v>0.54027777777777775</v>
      </c>
      <c r="K24" s="60">
        <v>0.71527777777777779</v>
      </c>
      <c r="L24" s="61">
        <f t="shared" si="1"/>
        <v>4.17</v>
      </c>
      <c r="M24" s="61">
        <f t="shared" si="2"/>
        <v>4.2</v>
      </c>
      <c r="N24" s="31">
        <f t="shared" si="3"/>
        <v>8.370000000000001</v>
      </c>
      <c r="O24" s="11">
        <f>IF(H24="","", IF(H24 &gt; (Settings!$B$5 + Settings!$B$9/1440), ROUND((H24 - Settings!$B$5)*1440, 0), 0))</f>
        <v>0</v>
      </c>
      <c r="P24" s="11">
        <f>IF(I24="","", IF(I24 &lt; Settings!$B$6, ROUND((Settings!$B$6 - I24)*1440, 0), 0))</f>
        <v>0</v>
      </c>
      <c r="Q24" s="11">
        <f>IF(J24="","", IF(J24 &gt; (Settings!$B$7 + Settings!$B$9/1440), ROUND((J24 - Settings!$B$7)*1440, 0), 0))</f>
        <v>0</v>
      </c>
      <c r="R24" s="11">
        <f>IF(K24="","", IF(K24 &lt; Settings!$B$8, ROUND((Settings!$B$8 - K24)*1440, 0), 0))</f>
        <v>0</v>
      </c>
      <c r="S24" s="25">
        <f t="shared" si="4"/>
        <v>0</v>
      </c>
      <c r="T24" s="25">
        <f t="shared" si="5"/>
        <v>0</v>
      </c>
      <c r="U24" s="5" t="str">
        <f>IF(COUNTIFS(Leaves!$B:$B, D24, Leaves!$E:$E, B24, Leaves!$H:$H, "Approved")&gt;0, "Leave",IF(AND(H24="", I24="", J24="", K24=""), "Absent",IF(OR(AND(H24&lt;&gt;"", I24=""), AND(H24="", I24&lt;&gt;""), AND(J24&lt;&gt;"", K24=""), AND(J24="", K24&lt;&gt;"")), "Incomplete Scan",IF(AND(S24&gt;0, T24&gt;0), "Late &amp; Early Leave",IF(S24&gt;0, "Late",IF(T24&gt;0, "Early Leave", "On Time"))))))</f>
        <v>On Time</v>
      </c>
      <c r="V24" s="13">
        <v>0</v>
      </c>
      <c r="W24" s="4" t="s">
        <v>203</v>
      </c>
    </row>
    <row r="25" spans="1:23" ht="22.05" customHeight="1" x14ac:dyDescent="0.35">
      <c r="A25" s="15">
        <v>22</v>
      </c>
      <c r="B25" s="62">
        <v>46268</v>
      </c>
      <c r="C25" s="15" t="str">
        <f t="shared" si="0"/>
        <v>Thursday</v>
      </c>
      <c r="D25" s="3" t="s">
        <v>117</v>
      </c>
      <c r="E25" s="14" t="str">
        <f>IFERROR(VLOOKUP(D25, Employees!$A$4:$F$50, 2, FALSE), "-")</f>
        <v>Keo Sophea</v>
      </c>
      <c r="F25" s="2" t="str">
        <f>IFERROR(VLOOKUP(D25, Employees!$A$4:$F$50, 3, FALSE), "-")</f>
        <v>កែវ សុភា</v>
      </c>
      <c r="G25" s="2" t="str">
        <f>IFERROR(VLOOKUP(D25, Employees!$A$4:$F$50, 5, FALSE), "-")</f>
        <v>Human Resources</v>
      </c>
      <c r="H25" s="63">
        <v>0.35416666666666669</v>
      </c>
      <c r="I25" s="63">
        <v>0.5</v>
      </c>
      <c r="J25" s="63">
        <v>0.54166666666666663</v>
      </c>
      <c r="K25" s="63">
        <v>0.70833333333333337</v>
      </c>
      <c r="L25" s="64">
        <f t="shared" si="1"/>
        <v>3.5</v>
      </c>
      <c r="M25" s="64">
        <f t="shared" si="2"/>
        <v>4</v>
      </c>
      <c r="N25" s="39">
        <f t="shared" si="3"/>
        <v>7.5</v>
      </c>
      <c r="O25" s="17">
        <f>IF(H25="","", IF(H25 &gt; (Settings!$B$5 + Settings!$B$9/1440), ROUND((H25 - Settings!$B$5)*1440, 0), 0))</f>
        <v>30</v>
      </c>
      <c r="P25" s="17">
        <f>IF(I25="","", IF(I25 &lt; Settings!$B$6, ROUND((Settings!$B$6 - I25)*1440, 0), 0))</f>
        <v>0</v>
      </c>
      <c r="Q25" s="17">
        <f>IF(J25="","", IF(J25 &gt; (Settings!$B$7 + Settings!$B$9/1440), ROUND((J25 - Settings!$B$7)*1440, 0), 0))</f>
        <v>0</v>
      </c>
      <c r="R25" s="17">
        <f>IF(K25="","", IF(K25 &lt; Settings!$B$8, ROUND((Settings!$B$8 - K25)*1440, 0), 0))</f>
        <v>0</v>
      </c>
      <c r="S25" s="33">
        <f t="shared" si="4"/>
        <v>30</v>
      </c>
      <c r="T25" s="33">
        <f t="shared" si="5"/>
        <v>0</v>
      </c>
      <c r="U25" s="3" t="str">
        <f>IF(COUNTIFS(Leaves!$B:$B, D25, Leaves!$E:$E, B25, Leaves!$H:$H, "Approved")&gt;0, "Leave",IF(AND(H25="", I25="", J25="", K25=""), "Absent",IF(OR(AND(H25&lt;&gt;"", I25=""), AND(H25="", I25&lt;&gt;""), AND(J25&lt;&gt;"", K25=""), AND(J25="", K25&lt;&gt;"")), "Incomplete Scan",IF(AND(S25&gt;0, T25&gt;0), "Late &amp; Early Leave",IF(S25&gt;0, "Late",IF(T25&gt;0, "Early Leave", "On Time"))))))</f>
        <v>Late</v>
      </c>
      <c r="V25" s="19">
        <v>0</v>
      </c>
      <c r="W25" s="2" t="s">
        <v>206</v>
      </c>
    </row>
    <row r="26" spans="1:23" ht="22.05" customHeight="1" x14ac:dyDescent="0.35">
      <c r="A26" s="9">
        <v>23</v>
      </c>
      <c r="B26" s="59">
        <v>46268</v>
      </c>
      <c r="C26" s="9" t="str">
        <f t="shared" si="0"/>
        <v>Thursday</v>
      </c>
      <c r="D26" s="5" t="s">
        <v>123</v>
      </c>
      <c r="E26" s="8" t="str">
        <f>IFERROR(VLOOKUP(D26, Employees!$A$4:$F$50, 2, FALSE), "-")</f>
        <v>Chan Dara</v>
      </c>
      <c r="F26" s="4" t="str">
        <f>IFERROR(VLOOKUP(D26, Employees!$A$4:$F$50, 3, FALSE), "-")</f>
        <v>ចាន់ ដារ៉ា</v>
      </c>
      <c r="G26" s="4" t="str">
        <f>IFERROR(VLOOKUP(D26, Employees!$A$4:$F$50, 5, FALSE), "-")</f>
        <v>Information Technology</v>
      </c>
      <c r="H26" s="60">
        <v>0.3263888888888889</v>
      </c>
      <c r="I26" s="60">
        <v>0.5</v>
      </c>
      <c r="J26" s="60">
        <v>0.54166666666666663</v>
      </c>
      <c r="K26" s="60">
        <v>0.70833333333333337</v>
      </c>
      <c r="L26" s="61">
        <f t="shared" si="1"/>
        <v>4.17</v>
      </c>
      <c r="M26" s="61">
        <f t="shared" si="2"/>
        <v>4</v>
      </c>
      <c r="N26" s="31">
        <f t="shared" si="3"/>
        <v>8.17</v>
      </c>
      <c r="O26" s="11">
        <f>IF(H26="","", IF(H26 &gt; (Settings!$B$5 + Settings!$B$9/1440), ROUND((H26 - Settings!$B$5)*1440, 0), 0))</f>
        <v>0</v>
      </c>
      <c r="P26" s="11">
        <f>IF(I26="","", IF(I26 &lt; Settings!$B$6, ROUND((Settings!$B$6 - I26)*1440, 0), 0))</f>
        <v>0</v>
      </c>
      <c r="Q26" s="11">
        <f>IF(J26="","", IF(J26 &gt; (Settings!$B$7 + Settings!$B$9/1440), ROUND((J26 - Settings!$B$7)*1440, 0), 0))</f>
        <v>0</v>
      </c>
      <c r="R26" s="11">
        <f>IF(K26="","", IF(K26 &lt; Settings!$B$8, ROUND((Settings!$B$8 - K26)*1440, 0), 0))</f>
        <v>0</v>
      </c>
      <c r="S26" s="25">
        <f t="shared" si="4"/>
        <v>0</v>
      </c>
      <c r="T26" s="25">
        <f t="shared" si="5"/>
        <v>0</v>
      </c>
      <c r="U26" s="5" t="str">
        <f>IF(COUNTIFS(Leaves!$B:$B, D26, Leaves!$E:$E, B26, Leaves!$H:$H, "Approved")&gt;0, "Leave",IF(AND(H26="", I26="", J26="", K26=""), "Absent",IF(OR(AND(H26&lt;&gt;"", I26=""), AND(H26="", I26&lt;&gt;""), AND(J26&lt;&gt;"", K26=""), AND(J26="", K26&lt;&gt;"")), "Incomplete Scan",IF(AND(S26&gt;0, T26&gt;0), "Late &amp; Early Leave",IF(S26&gt;0, "Late",IF(T26&gt;0, "Early Leave", "On Time"))))))</f>
        <v>On Time</v>
      </c>
      <c r="V26" s="13">
        <v>0</v>
      </c>
      <c r="W26" s="4" t="s">
        <v>203</v>
      </c>
    </row>
    <row r="27" spans="1:23" ht="22.05" customHeight="1" x14ac:dyDescent="0.35">
      <c r="A27" s="15">
        <v>24</v>
      </c>
      <c r="B27" s="62">
        <v>46268</v>
      </c>
      <c r="C27" s="15" t="str">
        <f t="shared" si="0"/>
        <v>Thursday</v>
      </c>
      <c r="D27" s="3" t="s">
        <v>127</v>
      </c>
      <c r="E27" s="14" t="str">
        <f>IFERROR(VLOOKUP(D27, Employees!$A$4:$F$50, 2, FALSE), "-")</f>
        <v>Sok Chenda</v>
      </c>
      <c r="F27" s="2" t="str">
        <f>IFERROR(VLOOKUP(D27, Employees!$A$4:$F$50, 3, FALSE), "-")</f>
        <v>សុខ ចិន្តា</v>
      </c>
      <c r="G27" s="2" t="str">
        <f>IFERROR(VLOOKUP(D27, Employees!$A$4:$F$50, 5, FALSE), "-")</f>
        <v>Finance &amp; Accounting</v>
      </c>
      <c r="H27" s="15"/>
      <c r="I27" s="15"/>
      <c r="J27" s="15"/>
      <c r="K27" s="15"/>
      <c r="L27" s="64">
        <f t="shared" si="1"/>
        <v>0</v>
      </c>
      <c r="M27" s="64">
        <f t="shared" si="2"/>
        <v>0</v>
      </c>
      <c r="N27" s="39">
        <f t="shared" si="3"/>
        <v>0</v>
      </c>
      <c r="O27" s="17" t="str">
        <f>IF(H27="","", IF(H27 &gt; (Settings!$B$5 + Settings!$B$9/1440), ROUND((H27 - Settings!$B$5)*1440, 0), 0))</f>
        <v/>
      </c>
      <c r="P27" s="17" t="str">
        <f>IF(I27="","", IF(I27 &lt; Settings!$B$6, ROUND((Settings!$B$6 - I27)*1440, 0), 0))</f>
        <v/>
      </c>
      <c r="Q27" s="17" t="str">
        <f>IF(J27="","", IF(J27 &gt; (Settings!$B$7 + Settings!$B$9/1440), ROUND((J27 - Settings!$B$7)*1440, 0), 0))</f>
        <v/>
      </c>
      <c r="R27" s="17" t="str">
        <f>IF(K27="","", IF(K27 &lt; Settings!$B$8, ROUND((Settings!$B$8 - K27)*1440, 0), 0))</f>
        <v/>
      </c>
      <c r="S27" s="33" t="e">
        <f t="shared" si="4"/>
        <v>#VALUE!</v>
      </c>
      <c r="T27" s="33" t="e">
        <f t="shared" si="5"/>
        <v>#VALUE!</v>
      </c>
      <c r="U27" s="3" t="str">
        <f>IF(COUNTIFS(Leaves!$B:$B, D27, Leaves!$E:$E, B27, Leaves!$H:$H, "Approved")&gt;0, "Leave",IF(AND(H27="", I27="", J27="", K27=""), "Absent",IF(OR(AND(H27&lt;&gt;"", I27=""), AND(H27="", I27&lt;&gt;""), AND(J27&lt;&gt;"", K27=""), AND(J27="", K27&lt;&gt;"")), "Incomplete Scan",IF(AND(S27&gt;0, T27&gt;0), "Late &amp; Early Leave",IF(S27&gt;0, "Late",IF(T27&gt;0, "Early Leave", "On Time"))))))</f>
        <v>Leave</v>
      </c>
      <c r="V27" s="19">
        <v>0</v>
      </c>
      <c r="W27" s="2" t="s">
        <v>207</v>
      </c>
    </row>
    <row r="28" spans="1:23" ht="22.05" customHeight="1" x14ac:dyDescent="0.35">
      <c r="A28" s="9">
        <v>25</v>
      </c>
      <c r="B28" s="59">
        <v>46268</v>
      </c>
      <c r="C28" s="9" t="str">
        <f t="shared" si="0"/>
        <v>Thursday</v>
      </c>
      <c r="D28" s="5" t="s">
        <v>132</v>
      </c>
      <c r="E28" s="8" t="str">
        <f>IFERROR(VLOOKUP(D28, Employees!$A$4:$F$50, 2, FALSE), "-")</f>
        <v>Meng Chhay</v>
      </c>
      <c r="F28" s="4" t="str">
        <f>IFERROR(VLOOKUP(D28, Employees!$A$4:$F$50, 3, FALSE), "-")</f>
        <v>ម៉េង ឆាយ</v>
      </c>
      <c r="G28" s="4" t="str">
        <f>IFERROR(VLOOKUP(D28, Employees!$A$4:$F$50, 5, FALSE), "-")</f>
        <v>Marketing &amp; Operations</v>
      </c>
      <c r="H28" s="60">
        <v>0.3298611111111111</v>
      </c>
      <c r="I28" s="60">
        <v>0.5</v>
      </c>
      <c r="J28" s="60">
        <v>0.53819444444444442</v>
      </c>
      <c r="K28" s="60">
        <v>0.6875</v>
      </c>
      <c r="L28" s="61">
        <f t="shared" si="1"/>
        <v>4.08</v>
      </c>
      <c r="M28" s="61">
        <f t="shared" si="2"/>
        <v>3.58</v>
      </c>
      <c r="N28" s="31">
        <f t="shared" si="3"/>
        <v>7.66</v>
      </c>
      <c r="O28" s="11">
        <f>IF(H28="","", IF(H28 &gt; (Settings!$B$5 + Settings!$B$9/1440), ROUND((H28 - Settings!$B$5)*1440, 0), 0))</f>
        <v>0</v>
      </c>
      <c r="P28" s="11">
        <f>IF(I28="","", IF(I28 &lt; Settings!$B$6, ROUND((Settings!$B$6 - I28)*1440, 0), 0))</f>
        <v>0</v>
      </c>
      <c r="Q28" s="11">
        <f>IF(J28="","", IF(J28 &gt; (Settings!$B$7 + Settings!$B$9/1440), ROUND((J28 - Settings!$B$7)*1440, 0), 0))</f>
        <v>0</v>
      </c>
      <c r="R28" s="11">
        <f>IF(K28="","", IF(K28 &lt; Settings!$B$8, ROUND((Settings!$B$8 - K28)*1440, 0), 0))</f>
        <v>30</v>
      </c>
      <c r="S28" s="25">
        <f t="shared" si="4"/>
        <v>0</v>
      </c>
      <c r="T28" s="25">
        <f t="shared" si="5"/>
        <v>30</v>
      </c>
      <c r="U28" s="5" t="str">
        <f>IF(COUNTIFS(Leaves!$B:$B, D28, Leaves!$E:$E, B28, Leaves!$H:$H, "Approved")&gt;0, "Leave",IF(AND(H28="", I28="", J28="", K28=""), "Absent",IF(OR(AND(H28&lt;&gt;"", I28=""), AND(H28="", I28&lt;&gt;""), AND(J28&lt;&gt;"", K28=""), AND(J28="", K28&lt;&gt;"")), "Incomplete Scan",IF(AND(S28&gt;0, T28&gt;0), "Late &amp; Early Leave",IF(S28&gt;0, "Late",IF(T28&gt;0, "Early Leave", "On Time"))))))</f>
        <v>Early Leave</v>
      </c>
      <c r="V28" s="13">
        <v>0</v>
      </c>
      <c r="W28" s="4" t="s">
        <v>208</v>
      </c>
    </row>
    <row r="29" spans="1:23" ht="22.05" customHeight="1" x14ac:dyDescent="0.35">
      <c r="A29" s="15">
        <v>26</v>
      </c>
      <c r="B29" s="62">
        <v>46268</v>
      </c>
      <c r="C29" s="15" t="str">
        <f t="shared" si="0"/>
        <v>Thursday</v>
      </c>
      <c r="D29" s="3" t="s">
        <v>137</v>
      </c>
      <c r="E29" s="14" t="str">
        <f>IFERROR(VLOOKUP(D29, Employees!$A$4:$F$50, 2, FALSE), "-")</f>
        <v>Vannak Bopha</v>
      </c>
      <c r="F29" s="2" t="str">
        <f>IFERROR(VLOOKUP(D29, Employees!$A$4:$F$50, 3, FALSE), "-")</f>
        <v>វណ្ណៈ បុប្ផា</v>
      </c>
      <c r="G29" s="2" t="str">
        <f>IFERROR(VLOOKUP(D29, Employees!$A$4:$F$50, 5, FALSE), "-")</f>
        <v>Human Resources</v>
      </c>
      <c r="H29" s="63">
        <v>0.33194444444444438</v>
      </c>
      <c r="I29" s="63">
        <v>0.5</v>
      </c>
      <c r="J29" s="63">
        <v>0.54027777777777775</v>
      </c>
      <c r="K29" s="63">
        <v>0.70833333333333337</v>
      </c>
      <c r="L29" s="64">
        <f t="shared" si="1"/>
        <v>4.03</v>
      </c>
      <c r="M29" s="64">
        <f t="shared" si="2"/>
        <v>4.03</v>
      </c>
      <c r="N29" s="39">
        <f t="shared" si="3"/>
        <v>8.06</v>
      </c>
      <c r="O29" s="17">
        <f>IF(H29="","", IF(H29 &gt; (Settings!$B$5 + Settings!$B$9/1440), ROUND((H29 - Settings!$B$5)*1440, 0), 0))</f>
        <v>0</v>
      </c>
      <c r="P29" s="17">
        <f>IF(I29="","", IF(I29 &lt; Settings!$B$6, ROUND((Settings!$B$6 - I29)*1440, 0), 0))</f>
        <v>0</v>
      </c>
      <c r="Q29" s="17">
        <f>IF(J29="","", IF(J29 &gt; (Settings!$B$7 + Settings!$B$9/1440), ROUND((J29 - Settings!$B$7)*1440, 0), 0))</f>
        <v>0</v>
      </c>
      <c r="R29" s="17">
        <f>IF(K29="","", IF(K29 &lt; Settings!$B$8, ROUND((Settings!$B$8 - K29)*1440, 0), 0))</f>
        <v>0</v>
      </c>
      <c r="S29" s="33">
        <f t="shared" si="4"/>
        <v>0</v>
      </c>
      <c r="T29" s="33">
        <f t="shared" si="5"/>
        <v>0</v>
      </c>
      <c r="U29" s="3" t="str">
        <f>IF(COUNTIFS(Leaves!$B:$B, D29, Leaves!$E:$E, B29, Leaves!$H:$H, "Approved")&gt;0, "Leave",IF(AND(H29="", I29="", J29="", K29=""), "Absent",IF(OR(AND(H29&lt;&gt;"", I29=""), AND(H29="", I29&lt;&gt;""), AND(J29&lt;&gt;"", K29=""), AND(J29="", K29&lt;&gt;"")), "Incomplete Scan",IF(AND(S29&gt;0, T29&gt;0), "Late &amp; Early Leave",IF(S29&gt;0, "Late",IF(T29&gt;0, "Early Leave", "On Time"))))))</f>
        <v>On Time</v>
      </c>
      <c r="V29" s="19">
        <v>0</v>
      </c>
      <c r="W29" s="2" t="s">
        <v>203</v>
      </c>
    </row>
    <row r="30" spans="1:23" ht="22.05" customHeight="1" x14ac:dyDescent="0.35">
      <c r="A30" s="9">
        <v>27</v>
      </c>
      <c r="B30" s="59">
        <v>46268</v>
      </c>
      <c r="C30" s="9" t="str">
        <f t="shared" si="0"/>
        <v>Thursday</v>
      </c>
      <c r="D30" s="5" t="s">
        <v>141</v>
      </c>
      <c r="E30" s="8" t="str">
        <f>IFERROR(VLOOKUP(D30, Employees!$A$4:$F$50, 2, FALSE), "-")</f>
        <v>Rithy Visal</v>
      </c>
      <c r="F30" s="4" t="str">
        <f>IFERROR(VLOOKUP(D30, Employees!$A$4:$F$50, 3, FALSE), "-")</f>
        <v>រិទ្ធី វិសាល</v>
      </c>
      <c r="G30" s="4" t="str">
        <f>IFERROR(VLOOKUP(D30, Employees!$A$4:$F$50, 5, FALSE), "-")</f>
        <v>Information Technology</v>
      </c>
      <c r="H30" s="9"/>
      <c r="I30" s="9"/>
      <c r="J30" s="9"/>
      <c r="K30" s="9"/>
      <c r="L30" s="61">
        <f t="shared" si="1"/>
        <v>0</v>
      </c>
      <c r="M30" s="61">
        <f t="shared" si="2"/>
        <v>0</v>
      </c>
      <c r="N30" s="31">
        <f t="shared" si="3"/>
        <v>0</v>
      </c>
      <c r="O30" s="11" t="str">
        <f>IF(H30="","", IF(H30 &gt; (Settings!$B$5 + Settings!$B$9/1440), ROUND((H30 - Settings!$B$5)*1440, 0), 0))</f>
        <v/>
      </c>
      <c r="P30" s="11" t="str">
        <f>IF(I30="","", IF(I30 &lt; Settings!$B$6, ROUND((Settings!$B$6 - I30)*1440, 0), 0))</f>
        <v/>
      </c>
      <c r="Q30" s="11" t="str">
        <f>IF(J30="","", IF(J30 &gt; (Settings!$B$7 + Settings!$B$9/1440), ROUND((J30 - Settings!$B$7)*1440, 0), 0))</f>
        <v/>
      </c>
      <c r="R30" s="11" t="str">
        <f>IF(K30="","", IF(K30 &lt; Settings!$B$8, ROUND((Settings!$B$8 - K30)*1440, 0), 0))</f>
        <v/>
      </c>
      <c r="S30" s="25" t="e">
        <f t="shared" si="4"/>
        <v>#VALUE!</v>
      </c>
      <c r="T30" s="25" t="e">
        <f t="shared" si="5"/>
        <v>#VALUE!</v>
      </c>
      <c r="U30" s="5" t="str">
        <f>IF(COUNTIFS(Leaves!$B:$B, D30, Leaves!$E:$E, B30, Leaves!$H:$H, "Approved")&gt;0, "Leave",IF(AND(H30="", I30="", J30="", K30=""), "Absent",IF(OR(AND(H30&lt;&gt;"", I30=""), AND(H30="", I30&lt;&gt;""), AND(J30&lt;&gt;"", K30=""), AND(J30="", K30&lt;&gt;"")), "Incomplete Scan",IF(AND(S30&gt;0, T30&gt;0), "Late &amp; Early Leave",IF(S30&gt;0, "Late",IF(T30&gt;0, "Early Leave", "On Time"))))))</f>
        <v>Leave</v>
      </c>
      <c r="V30" s="13">
        <v>0</v>
      </c>
      <c r="W30" s="4" t="s">
        <v>209</v>
      </c>
    </row>
    <row r="31" spans="1:23" ht="22.05" customHeight="1" x14ac:dyDescent="0.35">
      <c r="A31" s="15">
        <v>28</v>
      </c>
      <c r="B31" s="62">
        <v>46268</v>
      </c>
      <c r="C31" s="15" t="str">
        <f t="shared" si="0"/>
        <v>Thursday</v>
      </c>
      <c r="D31" s="3" t="s">
        <v>145</v>
      </c>
      <c r="E31" s="14" t="str">
        <f>IFERROR(VLOOKUP(D31, Employees!$A$4:$F$50, 2, FALSE), "-")</f>
        <v>Chhorn Sreyneang</v>
      </c>
      <c r="F31" s="2" t="str">
        <f>IFERROR(VLOOKUP(D31, Employees!$A$4:$F$50, 3, FALSE), "-")</f>
        <v>ឈន ស្រីនាង</v>
      </c>
      <c r="G31" s="2" t="str">
        <f>IFERROR(VLOOKUP(D31, Employees!$A$4:$F$50, 5, FALSE), "-")</f>
        <v>Finance &amp; Accounting</v>
      </c>
      <c r="H31" s="63">
        <v>0.3263888888888889</v>
      </c>
      <c r="I31" s="63">
        <v>0.5</v>
      </c>
      <c r="J31" s="63">
        <v>0.53472222222222221</v>
      </c>
      <c r="K31" s="63">
        <v>0.70833333333333337</v>
      </c>
      <c r="L31" s="64">
        <f t="shared" si="1"/>
        <v>4.17</v>
      </c>
      <c r="M31" s="64">
        <f t="shared" si="2"/>
        <v>4.17</v>
      </c>
      <c r="N31" s="39">
        <f t="shared" si="3"/>
        <v>8.34</v>
      </c>
      <c r="O31" s="17">
        <f>IF(H31="","", IF(H31 &gt; (Settings!$B$5 + Settings!$B$9/1440), ROUND((H31 - Settings!$B$5)*1440, 0), 0))</f>
        <v>0</v>
      </c>
      <c r="P31" s="17">
        <f>IF(I31="","", IF(I31 &lt; Settings!$B$6, ROUND((Settings!$B$6 - I31)*1440, 0), 0))</f>
        <v>0</v>
      </c>
      <c r="Q31" s="17">
        <f>IF(J31="","", IF(J31 &gt; (Settings!$B$7 + Settings!$B$9/1440), ROUND((J31 - Settings!$B$7)*1440, 0), 0))</f>
        <v>0</v>
      </c>
      <c r="R31" s="17">
        <f>IF(K31="","", IF(K31 &lt; Settings!$B$8, ROUND((Settings!$B$8 - K31)*1440, 0), 0))</f>
        <v>0</v>
      </c>
      <c r="S31" s="33">
        <f t="shared" si="4"/>
        <v>0</v>
      </c>
      <c r="T31" s="33">
        <f t="shared" si="5"/>
        <v>0</v>
      </c>
      <c r="U31" s="3" t="str">
        <f>IF(COUNTIFS(Leaves!$B:$B, D31, Leaves!$E:$E, B31, Leaves!$H:$H, "Approved")&gt;0, "Leave",IF(AND(H31="", I31="", J31="", K31=""), "Absent",IF(OR(AND(H31&lt;&gt;"", I31=""), AND(H31="", I31&lt;&gt;""), AND(J31&lt;&gt;"", K31=""), AND(J31="", K31&lt;&gt;"")), "Incomplete Scan",IF(AND(S31&gt;0, T31&gt;0), "Late &amp; Early Leave",IF(S31&gt;0, "Late",IF(T31&gt;0, "Early Leave", "On Time"))))))</f>
        <v>On Time</v>
      </c>
      <c r="V31" s="19">
        <v>0</v>
      </c>
      <c r="W31" s="2" t="s">
        <v>203</v>
      </c>
    </row>
    <row r="32" spans="1:23" ht="22.05" customHeight="1" x14ac:dyDescent="0.35">
      <c r="A32" s="9">
        <v>29</v>
      </c>
      <c r="B32" s="59">
        <v>46268</v>
      </c>
      <c r="C32" s="9" t="str">
        <f t="shared" si="0"/>
        <v>Thursday</v>
      </c>
      <c r="D32" s="5" t="s">
        <v>149</v>
      </c>
      <c r="E32" s="8" t="str">
        <f>IFERROR(VLOOKUP(D32, Employees!$A$4:$F$50, 2, FALSE), "-")</f>
        <v>Long Kosal</v>
      </c>
      <c r="F32" s="4" t="str">
        <f>IFERROR(VLOOKUP(D32, Employees!$A$4:$F$50, 3, FALSE), "-")</f>
        <v>ឡុង កុសល</v>
      </c>
      <c r="G32" s="4" t="str">
        <f>IFERROR(VLOOKUP(D32, Employees!$A$4:$F$50, 5, FALSE), "-")</f>
        <v>Information Technology</v>
      </c>
      <c r="H32" s="60">
        <v>0.32291666666666669</v>
      </c>
      <c r="I32" s="60">
        <v>0.5</v>
      </c>
      <c r="J32" s="60">
        <v>0.53125</v>
      </c>
      <c r="K32" s="60">
        <v>0.70833333333333337</v>
      </c>
      <c r="L32" s="61">
        <f t="shared" si="1"/>
        <v>4.25</v>
      </c>
      <c r="M32" s="61">
        <f t="shared" si="2"/>
        <v>4.25</v>
      </c>
      <c r="N32" s="31">
        <f t="shared" si="3"/>
        <v>8.5</v>
      </c>
      <c r="O32" s="11">
        <f>IF(H32="","", IF(H32 &gt; (Settings!$B$5 + Settings!$B$9/1440), ROUND((H32 - Settings!$B$5)*1440, 0), 0))</f>
        <v>0</v>
      </c>
      <c r="P32" s="11">
        <f>IF(I32="","", IF(I32 &lt; Settings!$B$6, ROUND((Settings!$B$6 - I32)*1440, 0), 0))</f>
        <v>0</v>
      </c>
      <c r="Q32" s="11">
        <f>IF(J32="","", IF(J32 &gt; (Settings!$B$7 + Settings!$B$9/1440), ROUND((J32 - Settings!$B$7)*1440, 0), 0))</f>
        <v>0</v>
      </c>
      <c r="R32" s="11">
        <f>IF(K32="","", IF(K32 &lt; Settings!$B$8, ROUND((Settings!$B$8 - K32)*1440, 0), 0))</f>
        <v>0</v>
      </c>
      <c r="S32" s="25">
        <f t="shared" si="4"/>
        <v>0</v>
      </c>
      <c r="T32" s="25">
        <f t="shared" si="5"/>
        <v>0</v>
      </c>
      <c r="U32" s="5" t="str">
        <f>IF(COUNTIFS(Leaves!$B:$B, D32, Leaves!$E:$E, B32, Leaves!$H:$H, "Approved")&gt;0, "Leave",IF(AND(H32="", I32="", J32="", K32=""), "Absent",IF(OR(AND(H32&lt;&gt;"", I32=""), AND(H32="", I32&lt;&gt;""), AND(J32&lt;&gt;"", K32=""), AND(J32="", K32&lt;&gt;"")), "Incomplete Scan",IF(AND(S32&gt;0, T32&gt;0), "Late &amp; Early Leave",IF(S32&gt;0, "Late",IF(T32&gt;0, "Early Leave", "On Time"))))))</f>
        <v>On Time</v>
      </c>
      <c r="V32" s="13">
        <v>0</v>
      </c>
      <c r="W32" s="4" t="s">
        <v>203</v>
      </c>
    </row>
    <row r="33" spans="1:23" ht="22.05" customHeight="1" x14ac:dyDescent="0.35">
      <c r="A33" s="15">
        <v>30</v>
      </c>
      <c r="B33" s="62">
        <v>46268</v>
      </c>
      <c r="C33" s="15" t="str">
        <f t="shared" si="0"/>
        <v>Thursday</v>
      </c>
      <c r="D33" s="3" t="s">
        <v>153</v>
      </c>
      <c r="E33" s="14" t="str">
        <f>IFERROR(VLOOKUP(D33, Employees!$A$4:$F$50, 2, FALSE), "-")</f>
        <v>Tep Nimol</v>
      </c>
      <c r="F33" s="2" t="str">
        <f>IFERROR(VLOOKUP(D33, Employees!$A$4:$F$50, 3, FALSE), "-")</f>
        <v>ទេព និមល</v>
      </c>
      <c r="G33" s="2" t="str">
        <f>IFERROR(VLOOKUP(D33, Employees!$A$4:$F$50, 5, FALSE), "-")</f>
        <v>Marketing &amp; Operations</v>
      </c>
      <c r="H33" s="63">
        <v>0.3298611111111111</v>
      </c>
      <c r="I33" s="63">
        <v>0.5</v>
      </c>
      <c r="J33" s="63">
        <v>0.53819444444444442</v>
      </c>
      <c r="K33" s="63">
        <v>0.77083333333333337</v>
      </c>
      <c r="L33" s="64">
        <f t="shared" si="1"/>
        <v>4.08</v>
      </c>
      <c r="M33" s="64">
        <f t="shared" si="2"/>
        <v>5.58</v>
      </c>
      <c r="N33" s="39">
        <f t="shared" si="3"/>
        <v>9.66</v>
      </c>
      <c r="O33" s="17">
        <f>IF(H33="","", IF(H33 &gt; (Settings!$B$5 + Settings!$B$9/1440), ROUND((H33 - Settings!$B$5)*1440, 0), 0))</f>
        <v>0</v>
      </c>
      <c r="P33" s="17">
        <f>IF(I33="","", IF(I33 &lt; Settings!$B$6, ROUND((Settings!$B$6 - I33)*1440, 0), 0))</f>
        <v>0</v>
      </c>
      <c r="Q33" s="17">
        <f>IF(J33="","", IF(J33 &gt; (Settings!$B$7 + Settings!$B$9/1440), ROUND((J33 - Settings!$B$7)*1440, 0), 0))</f>
        <v>0</v>
      </c>
      <c r="R33" s="17">
        <f>IF(K33="","", IF(K33 &lt; Settings!$B$8, ROUND((Settings!$B$8 - K33)*1440, 0), 0))</f>
        <v>0</v>
      </c>
      <c r="S33" s="33">
        <f t="shared" si="4"/>
        <v>0</v>
      </c>
      <c r="T33" s="33">
        <f t="shared" si="5"/>
        <v>0</v>
      </c>
      <c r="U33" s="3" t="str">
        <f>IF(COUNTIFS(Leaves!$B:$B, D33, Leaves!$E:$E, B33, Leaves!$H:$H, "Approved")&gt;0, "Leave",IF(AND(H33="", I33="", J33="", K33=""), "Absent",IF(OR(AND(H33&lt;&gt;"", I33=""), AND(H33="", I33&lt;&gt;""), AND(J33&lt;&gt;"", K33=""), AND(J33="", K33&lt;&gt;"")), "Incomplete Scan",IF(AND(S33&gt;0, T33&gt;0), "Late &amp; Early Leave",IF(S33&gt;0, "Late",IF(T33&gt;0, "Early Leave", "On Time"))))))</f>
        <v>On Time</v>
      </c>
      <c r="V33" s="19">
        <v>1.5</v>
      </c>
      <c r="W33" s="2" t="s">
        <v>210</v>
      </c>
    </row>
  </sheetData>
  <mergeCells count="2">
    <mergeCell ref="A2:W2"/>
    <mergeCell ref="A1:W1"/>
  </mergeCells>
  <conditionalFormatting sqref="S4:S133">
    <cfRule type="cellIs" dxfId="8" priority="8" operator="greaterThan">
      <formula>0</formula>
    </cfRule>
  </conditionalFormatting>
  <conditionalFormatting sqref="T4:T133">
    <cfRule type="cellIs" dxfId="7" priority="9" operator="greaterThan">
      <formula>0</formula>
    </cfRule>
  </conditionalFormatting>
  <conditionalFormatting sqref="U4:U133">
    <cfRule type="cellIs" dxfId="6" priority="1" operator="equal">
      <formula>"On Time"</formula>
    </cfRule>
    <cfRule type="cellIs" dxfId="5" priority="2" operator="equal">
      <formula>"Late"</formula>
    </cfRule>
    <cfRule type="cellIs" dxfId="4" priority="3" operator="equal">
      <formula>"Early Leave"</formula>
    </cfRule>
    <cfRule type="cellIs" dxfId="3" priority="4" operator="equal">
      <formula>"Late &amp; Early Leave"</formula>
    </cfRule>
    <cfRule type="cellIs" dxfId="2" priority="5" operator="equal">
      <formula>"Incomplete Scan"</formula>
    </cfRule>
    <cfRule type="cellIs" dxfId="1" priority="6" operator="equal">
      <formula>"Absent"</formula>
    </cfRule>
    <cfRule type="cellIs" dxfId="0" priority="7" operator="equal">
      <formula>"Leave"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Employees!$A$4:$A$50</xm:f>
          </x14:formula1>
          <xm:sqref>D4:D233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D12" sqref="D12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22" customWidth="1"/>
    <col min="5" max="5" width="20" customWidth="1"/>
    <col min="6" max="6" width="24" customWidth="1"/>
    <col min="7" max="7" width="14" customWidth="1"/>
    <col min="8" max="8" width="23" customWidth="1"/>
    <col min="9" max="9" width="14" customWidth="1"/>
    <col min="10" max="10" width="23" customWidth="1"/>
    <col min="11" max="11" width="16" customWidth="1"/>
    <col min="12" max="12" width="38" customWidth="1"/>
  </cols>
  <sheetData>
    <row r="1" spans="1:12" ht="40.049999999999997" customHeight="1" x14ac:dyDescent="0.3">
      <c r="A1" s="79" t="s">
        <v>211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4" customHeight="1" x14ac:dyDescent="0.3">
      <c r="A2" s="78" t="s">
        <v>212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8.05" customHeight="1" x14ac:dyDescent="0.3">
      <c r="A3" s="7" t="s">
        <v>176</v>
      </c>
      <c r="B3" s="7" t="s">
        <v>161</v>
      </c>
      <c r="C3" s="7" t="s">
        <v>159</v>
      </c>
      <c r="D3" s="7" t="s">
        <v>16</v>
      </c>
      <c r="E3" s="7" t="s">
        <v>17</v>
      </c>
      <c r="F3" s="7" t="s">
        <v>213</v>
      </c>
      <c r="G3" s="7" t="s">
        <v>214</v>
      </c>
      <c r="H3" s="7" t="s">
        <v>215</v>
      </c>
      <c r="I3" s="7" t="s">
        <v>216</v>
      </c>
      <c r="J3" s="7" t="s">
        <v>217</v>
      </c>
      <c r="K3" s="7" t="s">
        <v>218</v>
      </c>
      <c r="L3" s="7" t="s">
        <v>219</v>
      </c>
    </row>
    <row r="4" spans="1:12" ht="22.05" customHeight="1" x14ac:dyDescent="0.35">
      <c r="A4" s="9">
        <v>1</v>
      </c>
      <c r="B4" s="59">
        <v>46266</v>
      </c>
      <c r="C4" s="5" t="s">
        <v>123</v>
      </c>
      <c r="D4" s="8" t="str">
        <f>IFERROR(VLOOKUP(C4, Employees!$A$4:$F$50, 2, FALSE), "-")</f>
        <v>Chan Dara</v>
      </c>
      <c r="E4" s="4" t="str">
        <f>IFERROR(VLOOKUP(C4, Employees!$A$4:$F$50, 3, FALSE), "-")</f>
        <v>ចាន់ ដារ៉ា</v>
      </c>
      <c r="F4" s="4" t="str">
        <f>IFERROR(VLOOKUP(C4, Employees!$A$4:$F$50, 5, FALSE), "-")</f>
        <v>Information Technology</v>
      </c>
      <c r="G4" s="60">
        <v>0.35069444444444442</v>
      </c>
      <c r="H4" s="5">
        <v>25</v>
      </c>
      <c r="I4" s="9" t="s">
        <v>220</v>
      </c>
      <c r="J4" s="5">
        <v>0</v>
      </c>
      <c r="K4" s="65">
        <v>25</v>
      </c>
      <c r="L4" s="4" t="s">
        <v>221</v>
      </c>
    </row>
    <row r="5" spans="1:12" ht="22.05" customHeight="1" x14ac:dyDescent="0.35">
      <c r="A5" s="15">
        <v>2</v>
      </c>
      <c r="B5" s="62">
        <v>46266</v>
      </c>
      <c r="C5" s="3" t="s">
        <v>132</v>
      </c>
      <c r="D5" s="14" t="str">
        <f>IFERROR(VLOOKUP(C5, Employees!$A$4:$F$50, 2, FALSE), "-")</f>
        <v>Meng Chhay</v>
      </c>
      <c r="E5" s="2" t="str">
        <f>IFERROR(VLOOKUP(C5, Employees!$A$4:$F$50, 3, FALSE), "-")</f>
        <v>ម៉េង ឆាយ</v>
      </c>
      <c r="F5" s="2" t="str">
        <f>IFERROR(VLOOKUP(C5, Employees!$A$4:$F$50, 5, FALSE), "-")</f>
        <v>Marketing &amp; Operations</v>
      </c>
      <c r="G5" s="15" t="s">
        <v>220</v>
      </c>
      <c r="H5" s="3">
        <v>0</v>
      </c>
      <c r="I5" s="63">
        <v>0.55902777777777779</v>
      </c>
      <c r="J5" s="3">
        <v>25</v>
      </c>
      <c r="K5" s="66">
        <v>25</v>
      </c>
      <c r="L5" s="2" t="s">
        <v>222</v>
      </c>
    </row>
    <row r="6" spans="1:12" ht="22.05" customHeight="1" x14ac:dyDescent="0.35">
      <c r="A6" s="9">
        <v>3</v>
      </c>
      <c r="B6" s="59">
        <v>46266</v>
      </c>
      <c r="C6" s="5" t="s">
        <v>137</v>
      </c>
      <c r="D6" s="8" t="str">
        <f>IFERROR(VLOOKUP(C6, Employees!$A$4:$F$50, 2, FALSE), "-")</f>
        <v>Vannak Bopha</v>
      </c>
      <c r="E6" s="4" t="str">
        <f>IFERROR(VLOOKUP(C6, Employees!$A$4:$F$50, 3, FALSE), "-")</f>
        <v>វណ្ណៈ បុប្ផា</v>
      </c>
      <c r="F6" s="4" t="str">
        <f>IFERROR(VLOOKUP(C6, Employees!$A$4:$F$50, 5, FALSE), "-")</f>
        <v>Human Resources</v>
      </c>
      <c r="G6" s="60">
        <v>0.34722222222222221</v>
      </c>
      <c r="H6" s="5">
        <v>20</v>
      </c>
      <c r="I6" s="9" t="s">
        <v>220</v>
      </c>
      <c r="J6" s="5">
        <v>0</v>
      </c>
      <c r="K6" s="65">
        <v>20</v>
      </c>
      <c r="L6" s="4" t="s">
        <v>223</v>
      </c>
    </row>
    <row r="7" spans="1:12" ht="22.05" customHeight="1" x14ac:dyDescent="0.35">
      <c r="A7" s="15">
        <v>4</v>
      </c>
      <c r="B7" s="62">
        <v>46267</v>
      </c>
      <c r="C7" s="3" t="s">
        <v>127</v>
      </c>
      <c r="D7" s="14" t="str">
        <f>IFERROR(VLOOKUP(C7, Employees!$A$4:$F$50, 2, FALSE), "-")</f>
        <v>Sok Chenda</v>
      </c>
      <c r="E7" s="2" t="str">
        <f>IFERROR(VLOOKUP(C7, Employees!$A$4:$F$50, 3, FALSE), "-")</f>
        <v>សុខ ចិន្តា</v>
      </c>
      <c r="F7" s="2" t="str">
        <f>IFERROR(VLOOKUP(C7, Employees!$A$4:$F$50, 5, FALSE), "-")</f>
        <v>Finance &amp; Accounting</v>
      </c>
      <c r="G7" s="63">
        <v>0.34722222222222221</v>
      </c>
      <c r="H7" s="3">
        <v>20</v>
      </c>
      <c r="I7" s="15" t="s">
        <v>220</v>
      </c>
      <c r="J7" s="3">
        <v>0</v>
      </c>
      <c r="K7" s="66">
        <v>20</v>
      </c>
      <c r="L7" s="2" t="s">
        <v>223</v>
      </c>
    </row>
    <row r="8" spans="1:12" ht="22.05" customHeight="1" x14ac:dyDescent="0.35">
      <c r="A8" s="9">
        <v>5</v>
      </c>
      <c r="B8" s="59">
        <v>46268</v>
      </c>
      <c r="C8" s="5" t="s">
        <v>117</v>
      </c>
      <c r="D8" s="8" t="str">
        <f>IFERROR(VLOOKUP(C8, Employees!$A$4:$F$50, 2, FALSE), "-")</f>
        <v>Keo Sophea</v>
      </c>
      <c r="E8" s="4" t="str">
        <f>IFERROR(VLOOKUP(C8, Employees!$A$4:$F$50, 3, FALSE), "-")</f>
        <v>កែវ សុភា</v>
      </c>
      <c r="F8" s="4" t="str">
        <f>IFERROR(VLOOKUP(C8, Employees!$A$4:$F$50, 5, FALSE), "-")</f>
        <v>Human Resources</v>
      </c>
      <c r="G8" s="60">
        <v>0.35416666666666669</v>
      </c>
      <c r="H8" s="5">
        <v>30</v>
      </c>
      <c r="I8" s="9" t="s">
        <v>220</v>
      </c>
      <c r="J8" s="5">
        <v>0</v>
      </c>
      <c r="K8" s="65">
        <v>30</v>
      </c>
      <c r="L8" s="4" t="s">
        <v>224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topLeftCell="A3" workbookViewId="0">
      <selection sqref="A1:H1"/>
    </sheetView>
  </sheetViews>
  <sheetFormatPr defaultRowHeight="14.4" x14ac:dyDescent="0.3"/>
  <cols>
    <col min="1" max="8" width="12" customWidth="1"/>
  </cols>
  <sheetData>
    <row r="1" spans="1:8" ht="40.049999999999997" customHeight="1" x14ac:dyDescent="0.3">
      <c r="A1" s="70" t="s">
        <v>225</v>
      </c>
      <c r="B1" s="71"/>
      <c r="C1" s="71"/>
      <c r="D1" s="71"/>
      <c r="E1" s="71"/>
      <c r="F1" s="71"/>
      <c r="G1" s="71"/>
      <c r="H1" s="71"/>
    </row>
    <row r="3" spans="1:8" ht="24" customHeight="1" x14ac:dyDescent="0.4">
      <c r="A3" s="80" t="s">
        <v>226</v>
      </c>
      <c r="B3" s="71"/>
      <c r="C3" s="71"/>
      <c r="D3" s="71"/>
      <c r="E3" s="71"/>
      <c r="F3" s="71"/>
      <c r="G3" s="71"/>
      <c r="H3" s="71"/>
    </row>
    <row r="4" spans="1:8" ht="36" customHeight="1" x14ac:dyDescent="0.3">
      <c r="A4" s="81" t="s">
        <v>227</v>
      </c>
      <c r="B4" s="71"/>
      <c r="C4" s="71"/>
      <c r="D4" s="71"/>
      <c r="E4" s="71"/>
      <c r="F4" s="71"/>
      <c r="G4" s="71"/>
      <c r="H4" s="71"/>
    </row>
    <row r="6" spans="1:8" ht="24" customHeight="1" x14ac:dyDescent="0.4">
      <c r="A6" s="80" t="s">
        <v>228</v>
      </c>
      <c r="B6" s="71"/>
      <c r="C6" s="71"/>
      <c r="D6" s="71"/>
      <c r="E6" s="71"/>
      <c r="F6" s="71"/>
      <c r="G6" s="71"/>
      <c r="H6" s="71"/>
    </row>
    <row r="7" spans="1:8" ht="126" customHeight="1" x14ac:dyDescent="0.3">
      <c r="A7" s="81" t="s">
        <v>229</v>
      </c>
      <c r="B7" s="71"/>
      <c r="C7" s="71"/>
      <c r="D7" s="71"/>
      <c r="E7" s="71"/>
      <c r="F7" s="71"/>
      <c r="G7" s="71"/>
      <c r="H7" s="71"/>
    </row>
    <row r="9" spans="1:8" ht="24" customHeight="1" x14ac:dyDescent="0.4">
      <c r="A9" s="80" t="s">
        <v>230</v>
      </c>
      <c r="B9" s="71"/>
      <c r="C9" s="71"/>
      <c r="D9" s="71"/>
      <c r="E9" s="71"/>
      <c r="F9" s="71"/>
      <c r="G9" s="71"/>
      <c r="H9" s="71"/>
    </row>
    <row r="10" spans="1:8" ht="36" customHeight="1" x14ac:dyDescent="0.3">
      <c r="A10" s="81" t="s">
        <v>231</v>
      </c>
      <c r="B10" s="71"/>
      <c r="C10" s="71"/>
      <c r="D10" s="71"/>
      <c r="E10" s="71"/>
      <c r="F10" s="71"/>
      <c r="G10" s="71"/>
      <c r="H10" s="71"/>
    </row>
    <row r="12" spans="1:8" ht="24" customHeight="1" x14ac:dyDescent="0.4">
      <c r="A12" s="80" t="s">
        <v>232</v>
      </c>
      <c r="B12" s="71"/>
      <c r="C12" s="71"/>
      <c r="D12" s="71"/>
      <c r="E12" s="71"/>
      <c r="F12" s="71"/>
      <c r="G12" s="71"/>
      <c r="H12" s="71"/>
    </row>
    <row r="13" spans="1:8" ht="90" customHeight="1" x14ac:dyDescent="0.3">
      <c r="A13" s="81" t="s">
        <v>233</v>
      </c>
      <c r="B13" s="71"/>
      <c r="C13" s="71"/>
      <c r="D13" s="71"/>
      <c r="E13" s="71"/>
      <c r="F13" s="71"/>
      <c r="G13" s="71"/>
      <c r="H13" s="71"/>
    </row>
    <row r="15" spans="1:8" ht="24" customHeight="1" x14ac:dyDescent="0.4">
      <c r="A15" s="80" t="s">
        <v>234</v>
      </c>
      <c r="B15" s="71"/>
      <c r="C15" s="71"/>
      <c r="D15" s="71"/>
      <c r="E15" s="71"/>
      <c r="F15" s="71"/>
      <c r="G15" s="71"/>
      <c r="H15" s="71"/>
    </row>
    <row r="16" spans="1:8" ht="72" customHeight="1" x14ac:dyDescent="0.3">
      <c r="A16" s="81" t="s">
        <v>235</v>
      </c>
      <c r="B16" s="71"/>
      <c r="C16" s="71"/>
      <c r="D16" s="71"/>
      <c r="E16" s="71"/>
      <c r="F16" s="71"/>
      <c r="G16" s="71"/>
      <c r="H16" s="71"/>
    </row>
  </sheetData>
  <mergeCells count="11">
    <mergeCell ref="A16:H16"/>
    <mergeCell ref="A10:H10"/>
    <mergeCell ref="A13:H13"/>
    <mergeCell ref="A1:H1"/>
    <mergeCell ref="A6:H6"/>
    <mergeCell ref="A9:H9"/>
    <mergeCell ref="A4:H4"/>
    <mergeCell ref="A12:H12"/>
    <mergeCell ref="A3:H3"/>
    <mergeCell ref="A15:H15"/>
    <mergeCell ref="A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Attendance_Report</vt:lpstr>
      <vt:lpstr>Settings</vt:lpstr>
      <vt:lpstr>Employees</vt:lpstr>
      <vt:lpstr>Leaves</vt:lpstr>
      <vt:lpstr>Attendance_Daily</vt:lpstr>
      <vt:lpstr>Late_Attendance_Log</vt:lpstr>
      <vt:lpstr>User_Guide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Piseth khoem21</cp:lastModifiedBy>
  <dcterms:created xsi:type="dcterms:W3CDTF">2026-09-11T15:47:08Z</dcterms:created>
  <dcterms:modified xsi:type="dcterms:W3CDTF">2026-09-11T15:52:31Z</dcterms:modified>
</cp:coreProperties>
</file>